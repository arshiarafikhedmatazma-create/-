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khedmatazma_tasks\saghaee\check_metrix_factor\1403-09-15\"/>
    </mc:Choice>
  </mc:AlternateContent>
  <xr:revisionPtr revIDLastSave="0" documentId="13_ncr:1_{8800E3EC-583D-4863-A4F5-AC89692CDCB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2" i="1" l="1"/>
  <c r="K54" i="1"/>
  <c r="G55" i="1"/>
  <c r="K55" i="1" s="1"/>
  <c r="R55" i="1" s="1"/>
  <c r="G53" i="1"/>
  <c r="K53" i="1" s="1"/>
  <c r="R53" i="1" s="1"/>
  <c r="G52" i="1"/>
  <c r="K52" i="1" s="1"/>
  <c r="R52" i="1" s="1"/>
  <c r="G47" i="1"/>
  <c r="K47" i="1" s="1"/>
  <c r="G48" i="1"/>
  <c r="K48" i="1" s="1"/>
  <c r="K50" i="1"/>
  <c r="K49" i="1"/>
  <c r="M47" i="1"/>
  <c r="R54" i="1" l="1"/>
  <c r="L52" i="1"/>
  <c r="N52" i="1" s="1"/>
  <c r="O52" i="1" s="1"/>
  <c r="L47" i="1"/>
  <c r="N47" i="1" s="1"/>
  <c r="O47" i="1" s="1"/>
  <c r="Q47" i="1" s="1"/>
  <c r="Q52" i="1" l="1"/>
  <c r="K46" i="1"/>
  <c r="G44" i="1"/>
  <c r="K44" i="1" s="1"/>
  <c r="G43" i="1"/>
  <c r="K43" i="1" s="1"/>
  <c r="K45" i="1"/>
  <c r="M43" i="1"/>
  <c r="L43" i="1" l="1"/>
  <c r="N43" i="1" s="1"/>
  <c r="O43" i="1" s="1"/>
  <c r="Q43" i="1" s="1"/>
  <c r="G40" i="1"/>
  <c r="K40" i="1" s="1"/>
  <c r="G41" i="1"/>
  <c r="K41" i="1" s="1"/>
  <c r="K42" i="1"/>
  <c r="M40" i="1"/>
  <c r="L40" i="1" l="1"/>
  <c r="N40" i="1" s="1"/>
  <c r="O40" i="1" s="1"/>
  <c r="Q40" i="1" s="1"/>
  <c r="G34" i="1"/>
  <c r="G35" i="1"/>
  <c r="K35" i="1" s="1"/>
  <c r="K36" i="1"/>
  <c r="M34" i="1"/>
  <c r="K34" i="1"/>
  <c r="L34" i="1" l="1"/>
  <c r="N34" i="1" s="1"/>
  <c r="O34" i="1" s="1"/>
  <c r="Q34" i="1" s="1"/>
  <c r="G32" i="1"/>
  <c r="G31" i="1"/>
  <c r="K31" i="1" s="1"/>
  <c r="K33" i="1"/>
  <c r="K32" i="1"/>
  <c r="M31" i="1"/>
  <c r="L31" i="1" l="1"/>
  <c r="N31" i="1" s="1"/>
  <c r="O31" i="1" s="1"/>
  <c r="Q31" i="1" s="1"/>
  <c r="G28" i="1"/>
  <c r="G29" i="1"/>
  <c r="K29" i="1" s="1"/>
  <c r="K30" i="1"/>
  <c r="M28" i="1"/>
  <c r="K28" i="1"/>
  <c r="L28" i="1" l="1"/>
  <c r="N28" i="1" s="1"/>
  <c r="O28" i="1" s="1"/>
  <c r="Q28" i="1" s="1"/>
  <c r="G26" i="1"/>
  <c r="K26" i="1" s="1"/>
  <c r="G25" i="1"/>
  <c r="K25" i="1" s="1"/>
  <c r="K27" i="1"/>
  <c r="M25" i="1"/>
  <c r="L25" i="1" l="1"/>
  <c r="N25" i="1" s="1"/>
  <c r="O25" i="1" s="1"/>
  <c r="Q25" i="1" s="1"/>
  <c r="G23" i="1"/>
  <c r="G22" i="1"/>
  <c r="K24" i="1"/>
  <c r="K23" i="1"/>
  <c r="M22" i="1"/>
  <c r="K22" i="1"/>
  <c r="L22" i="1" l="1"/>
  <c r="N22" i="1" s="1"/>
  <c r="O22" i="1" s="1"/>
  <c r="Q22" i="1" s="1"/>
  <c r="G19" i="1"/>
  <c r="K19" i="1" s="1"/>
  <c r="G20" i="1"/>
  <c r="K20" i="1" s="1"/>
  <c r="K21" i="1"/>
  <c r="M19" i="1"/>
  <c r="L19" i="1" l="1"/>
  <c r="N19" i="1" s="1"/>
  <c r="O19" i="1" s="1"/>
  <c r="Q19" i="1" s="1"/>
  <c r="K18" i="1"/>
  <c r="G17" i="1"/>
  <c r="K17" i="1" s="1"/>
  <c r="G16" i="1"/>
  <c r="K16" i="1" s="1"/>
  <c r="M16" i="1"/>
  <c r="L16" i="1" l="1"/>
  <c r="N16" i="1" s="1"/>
  <c r="G14" i="1"/>
  <c r="G15" i="1"/>
  <c r="K15" i="1" s="1"/>
  <c r="M14" i="1"/>
  <c r="K14" i="1"/>
  <c r="O16" i="1" l="1"/>
  <c r="Q16" i="1" s="1"/>
  <c r="L14" i="1"/>
  <c r="N14" i="1" s="1"/>
  <c r="O14" i="1" s="1"/>
  <c r="Q14" i="1" s="1"/>
  <c r="G13" i="1"/>
  <c r="K13" i="1" s="1"/>
  <c r="G12" i="1"/>
  <c r="K12" i="1" s="1"/>
  <c r="M12" i="1"/>
  <c r="L12" i="1" l="1"/>
  <c r="N12" i="1" s="1"/>
  <c r="G11" i="1"/>
  <c r="G10" i="1"/>
  <c r="K10" i="1" s="1"/>
  <c r="K11" i="1"/>
  <c r="M10" i="1"/>
  <c r="O12" i="1" l="1"/>
  <c r="Q12" i="1" s="1"/>
  <c r="L10" i="1"/>
  <c r="N10" i="1" s="1"/>
  <c r="O10" i="1" s="1"/>
  <c r="Q10" i="1" s="1"/>
  <c r="M8" i="1"/>
  <c r="G8" i="1"/>
  <c r="K8" i="1" s="1"/>
  <c r="G9" i="1"/>
  <c r="K9" i="1" s="1"/>
  <c r="L8" i="1" l="1"/>
  <c r="N8" i="1" s="1"/>
  <c r="O8" i="1" s="1"/>
  <c r="Q8" i="1" s="1"/>
  <c r="G6" i="1"/>
  <c r="M6" i="1"/>
  <c r="G7" i="1"/>
  <c r="K7" i="1" s="1"/>
  <c r="M4" i="1"/>
  <c r="K6" i="1"/>
  <c r="G5" i="1"/>
  <c r="K5" i="1" s="1"/>
  <c r="G4" i="1"/>
  <c r="K4" i="1" s="1"/>
  <c r="M2" i="1"/>
  <c r="G3" i="1"/>
  <c r="K3" i="1" s="1"/>
  <c r="G2" i="1"/>
  <c r="K2" i="1" s="1"/>
  <c r="L2" i="1" l="1"/>
  <c r="N2" i="1" s="1"/>
  <c r="O2" i="1" s="1"/>
  <c r="Q2" i="1" s="1"/>
  <c r="L4" i="1"/>
  <c r="N4" i="1" s="1"/>
  <c r="O4" i="1" s="1"/>
  <c r="Q4" i="1" s="1"/>
  <c r="L6" i="1"/>
  <c r="N6" i="1" s="1"/>
  <c r="O6" i="1" s="1"/>
  <c r="Q6" i="1" s="1"/>
</calcChain>
</file>

<file path=xl/sharedStrings.xml><?xml version="1.0" encoding="utf-8"?>
<sst xmlns="http://schemas.openxmlformats.org/spreadsheetml/2006/main" count="115" uniqueCount="58">
  <si>
    <t>1401-01-16 | 1401-02-14</t>
  </si>
  <si>
    <t>1401-02-15 | 1401-03-14</t>
  </si>
  <si>
    <t>1401-03-15 | 1401-04-13</t>
  </si>
  <si>
    <t>نام</t>
  </si>
  <si>
    <t>بازه زمانی</t>
  </si>
  <si>
    <t>اردیبهشت</t>
  </si>
  <si>
    <t>خرداد</t>
  </si>
  <si>
    <t>تیر</t>
  </si>
  <si>
    <t>هزینه پلن (تومن)</t>
  </si>
  <si>
    <t>هزینه متغیر اتریبیشون (تومن)</t>
  </si>
  <si>
    <t>تعداد نصب</t>
  </si>
  <si>
    <t>تعداد نصب ارگانیک</t>
  </si>
  <si>
    <t>تعداد نصب مجدد و ری اتریبیشون</t>
  </si>
  <si>
    <t>تعداد رجکت اینستال</t>
  </si>
  <si>
    <t>تعداد کل</t>
  </si>
  <si>
    <t>مبلغ قابل پردخت ثابت (تومن)</t>
  </si>
  <si>
    <t>مبلغ قابل پرداخت متغیر (تومن)</t>
  </si>
  <si>
    <t>اپلیکیشن</t>
  </si>
  <si>
    <t>مشتری</t>
  </si>
  <si>
    <t>پروایدر</t>
  </si>
  <si>
    <t>تعداد نهایی</t>
  </si>
  <si>
    <t>تعداد پلن</t>
  </si>
  <si>
    <t>1401-04-14 | 1401-05-13</t>
  </si>
  <si>
    <t>مرداد</t>
  </si>
  <si>
    <t>شهریور</t>
  </si>
  <si>
    <t>مبلغ قابل پرداخت(کل) - تومن</t>
  </si>
  <si>
    <t>1401-05-14 | 1401-06-13</t>
  </si>
  <si>
    <t>1401-06-14 | 1401-07-12</t>
  </si>
  <si>
    <t>مهر</t>
  </si>
  <si>
    <t>مبلغ قابل پرداخت(کل) - تومن - پس از تخفیف</t>
  </si>
  <si>
    <t>درصد تخفیف</t>
  </si>
  <si>
    <t>آبان</t>
  </si>
  <si>
    <t>1401-07-13 | 1401-08-13</t>
  </si>
  <si>
    <t>آذر</t>
  </si>
  <si>
    <t>1401-08-14 | 1401-09-13</t>
  </si>
  <si>
    <t>IOS</t>
  </si>
  <si>
    <t>دی</t>
  </si>
  <si>
    <t>1401-09-14 | 1401-10-14</t>
  </si>
  <si>
    <t>بهمن</t>
  </si>
  <si>
    <t>1401-10-15 | 1401-11-15</t>
  </si>
  <si>
    <t>1401-11-16 | 1401-12-13</t>
  </si>
  <si>
    <t>1401-12-14 | 1402-01-15</t>
  </si>
  <si>
    <t>اسفند</t>
  </si>
  <si>
    <t>فروردین</t>
  </si>
  <si>
    <t>1402-01-16 | 1402-02-14</t>
  </si>
  <si>
    <t>1402-02-15 | 1402-03-14</t>
  </si>
  <si>
    <t>1402-03-15 | 1402-04-13</t>
  </si>
  <si>
    <t>1402-04-14 | 1402-05-13</t>
  </si>
  <si>
    <t>1402-05-14 | 1402-06-13</t>
  </si>
  <si>
    <t>چنگال</t>
  </si>
  <si>
    <t>1402-06-14 | 1402-07-12</t>
  </si>
  <si>
    <t>1403-08-15 | 1403-09-14</t>
  </si>
  <si>
    <t xml:space="preserve">خدمت از ما مشتری </t>
  </si>
  <si>
    <t xml:space="preserve">خدمت از ما پروایدر </t>
  </si>
  <si>
    <t>خدمت از ما ios</t>
  </si>
  <si>
    <t>%</t>
  </si>
  <si>
    <t>هزینه - تومن</t>
  </si>
  <si>
    <t>اپ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</si>
</sst>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4" borderId="2" xfId="1" applyNumberFormat="1" applyFont="1" applyFill="1" applyBorder="1" applyAlignment="1">
      <alignment horizontal="center" vertical="center"/>
    </xf>
    <xf numFmtId="164" fontId="0" fillId="4" borderId="4" xfId="1" applyNumberFormat="1" applyFont="1" applyFill="1" applyBorder="1" applyAlignment="1">
      <alignment horizontal="center" vertical="center"/>
    </xf>
    <xf numFmtId="164" fontId="0" fillId="4" borderId="3" xfId="1" applyNumberFormat="1" applyFont="1" applyFill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9" fontId="0" fillId="0" borderId="4" xfId="2" applyFont="1" applyBorder="1" applyAlignment="1">
      <alignment horizontal="center" vertical="center"/>
    </xf>
    <xf numFmtId="9" fontId="0" fillId="0" borderId="3" xfId="2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"/>
  <sheetViews>
    <sheetView tabSelected="1" topLeftCell="B1" zoomScale="90" zoomScaleNormal="90" workbookViewId="0">
      <selection activeCell="Q62" sqref="Q62"/>
    </sheetView>
  </sheetViews>
  <sheetFormatPr defaultRowHeight="15" x14ac:dyDescent="0.25"/>
  <cols>
    <col min="1" max="1" width="23.85546875" style="1" bestFit="1" customWidth="1"/>
    <col min="2" max="3" width="9.140625" style="1"/>
    <col min="4" max="4" width="13.42578125" style="1" bestFit="1" customWidth="1"/>
    <col min="5" max="5" width="22.28515625" style="1" bestFit="1" customWidth="1"/>
    <col min="6" max="6" width="12.7109375" style="1" bestFit="1" customWidth="1"/>
    <col min="7" max="7" width="15.140625" style="1" bestFit="1" customWidth="1"/>
    <col min="8" max="8" width="15.5703125" style="1" customWidth="1"/>
    <col min="9" max="10" width="11" style="1" customWidth="1"/>
    <col min="11" max="12" width="9.140625" style="1"/>
    <col min="13" max="13" width="14.5703125" style="1" customWidth="1"/>
    <col min="14" max="14" width="14" style="1" customWidth="1"/>
    <col min="15" max="15" width="12.7109375" style="1" bestFit="1" customWidth="1"/>
    <col min="16" max="16" width="12.7109375" style="1" customWidth="1"/>
    <col min="17" max="17" width="24.42578125" style="1" customWidth="1"/>
    <col min="18" max="18" width="10.28515625" style="1" bestFit="1" customWidth="1"/>
    <col min="19" max="19" width="22.140625" style="1" bestFit="1" customWidth="1"/>
    <col min="20" max="20" width="14.7109375" style="1" bestFit="1" customWidth="1"/>
    <col min="21" max="16384" width="9.140625" style="1"/>
  </cols>
  <sheetData>
    <row r="1" spans="1:17" s="2" customFormat="1" ht="45" x14ac:dyDescent="0.25">
      <c r="A1" s="3" t="s">
        <v>4</v>
      </c>
      <c r="B1" s="3" t="s">
        <v>3</v>
      </c>
      <c r="C1" s="3" t="s">
        <v>17</v>
      </c>
      <c r="D1" s="3" t="s">
        <v>8</v>
      </c>
      <c r="E1" s="3" t="s">
        <v>9</v>
      </c>
      <c r="F1" s="6" t="s">
        <v>10</v>
      </c>
      <c r="G1" s="5" t="s">
        <v>11</v>
      </c>
      <c r="H1" s="6" t="s">
        <v>12</v>
      </c>
      <c r="I1" s="6" t="s">
        <v>13</v>
      </c>
      <c r="J1" s="6" t="s">
        <v>21</v>
      </c>
      <c r="K1" s="3" t="s">
        <v>14</v>
      </c>
      <c r="L1" s="3" t="s">
        <v>20</v>
      </c>
      <c r="M1" s="3" t="s">
        <v>15</v>
      </c>
      <c r="N1" s="3" t="s">
        <v>16</v>
      </c>
      <c r="O1" s="3" t="s">
        <v>25</v>
      </c>
      <c r="P1" s="3" t="s">
        <v>30</v>
      </c>
      <c r="Q1" s="3" t="s">
        <v>29</v>
      </c>
    </row>
    <row r="2" spans="1:17" hidden="1" x14ac:dyDescent="0.25">
      <c r="A2" s="11" t="s">
        <v>0</v>
      </c>
      <c r="B2" s="11" t="s">
        <v>5</v>
      </c>
      <c r="C2" s="4" t="s">
        <v>18</v>
      </c>
      <c r="D2" s="17">
        <v>800000</v>
      </c>
      <c r="E2" s="20">
        <v>180</v>
      </c>
      <c r="F2" s="4">
        <v>19624</v>
      </c>
      <c r="G2" s="4">
        <f>3791+142</f>
        <v>3933</v>
      </c>
      <c r="H2" s="4">
        <v>0</v>
      </c>
      <c r="I2" s="4">
        <v>66</v>
      </c>
      <c r="J2" s="20">
        <v>5000</v>
      </c>
      <c r="K2" s="4">
        <f>SUM(F2,H2,I2)-G2</f>
        <v>15757</v>
      </c>
      <c r="L2" s="20">
        <f>SUM(K2:K3)-J2</f>
        <v>12971</v>
      </c>
      <c r="M2" s="10">
        <f>D2</f>
        <v>800000</v>
      </c>
      <c r="N2" s="10">
        <f>L2*E2</f>
        <v>2334780</v>
      </c>
      <c r="O2" s="10">
        <f>SUM(M2:N3)</f>
        <v>3134780</v>
      </c>
      <c r="P2" s="26">
        <v>0</v>
      </c>
      <c r="Q2" s="23">
        <f>O2*(1-P2)</f>
        <v>3134780</v>
      </c>
    </row>
    <row r="3" spans="1:17" hidden="1" x14ac:dyDescent="0.25">
      <c r="A3" s="11"/>
      <c r="B3" s="11"/>
      <c r="C3" s="4" t="s">
        <v>19</v>
      </c>
      <c r="D3" s="19"/>
      <c r="E3" s="22"/>
      <c r="F3" s="4">
        <v>6030</v>
      </c>
      <c r="G3" s="4">
        <f>3600+254</f>
        <v>3854</v>
      </c>
      <c r="H3" s="4">
        <v>0</v>
      </c>
      <c r="I3" s="4">
        <v>38</v>
      </c>
      <c r="J3" s="22"/>
      <c r="K3" s="4">
        <f>SUM(F3,H3,I3)-G3</f>
        <v>2214</v>
      </c>
      <c r="L3" s="22"/>
      <c r="M3" s="11"/>
      <c r="N3" s="11"/>
      <c r="O3" s="11"/>
      <c r="P3" s="28"/>
      <c r="Q3" s="25"/>
    </row>
    <row r="4" spans="1:17" hidden="1" x14ac:dyDescent="0.25">
      <c r="A4" s="11" t="s">
        <v>1</v>
      </c>
      <c r="B4" s="11" t="s">
        <v>6</v>
      </c>
      <c r="C4" s="4" t="s">
        <v>18</v>
      </c>
      <c r="D4" s="17">
        <v>1100000</v>
      </c>
      <c r="E4" s="20">
        <v>260</v>
      </c>
      <c r="F4" s="4">
        <v>19123</v>
      </c>
      <c r="G4" s="4">
        <f>3702+147</f>
        <v>3849</v>
      </c>
      <c r="H4" s="4">
        <v>0</v>
      </c>
      <c r="I4" s="4">
        <v>63</v>
      </c>
      <c r="J4" s="20">
        <v>5000</v>
      </c>
      <c r="K4" s="4">
        <f t="shared" ref="K4:K9" si="0">SUM(F4,H4,I4)-G4</f>
        <v>15337</v>
      </c>
      <c r="L4" s="20">
        <f>SUM(K4:K5)-J4</f>
        <v>12264</v>
      </c>
      <c r="M4" s="17">
        <f>D4</f>
        <v>1100000</v>
      </c>
      <c r="N4" s="23">
        <f>L4*E4</f>
        <v>3188640</v>
      </c>
      <c r="O4" s="10">
        <f>SUM(M4:N5)</f>
        <v>4288640</v>
      </c>
      <c r="P4" s="26">
        <v>0</v>
      </c>
      <c r="Q4" s="23">
        <f>O4*(1-P4)</f>
        <v>4288640</v>
      </c>
    </row>
    <row r="5" spans="1:17" hidden="1" x14ac:dyDescent="0.25">
      <c r="A5" s="11"/>
      <c r="B5" s="11"/>
      <c r="C5" s="4" t="s">
        <v>19</v>
      </c>
      <c r="D5" s="19">
        <v>1100000</v>
      </c>
      <c r="E5" s="22">
        <v>260</v>
      </c>
      <c r="F5" s="4">
        <v>5411</v>
      </c>
      <c r="G5" s="4">
        <f>3272+242</f>
        <v>3514</v>
      </c>
      <c r="H5" s="4">
        <v>0</v>
      </c>
      <c r="I5" s="4">
        <v>30</v>
      </c>
      <c r="J5" s="22"/>
      <c r="K5" s="4">
        <f t="shared" si="0"/>
        <v>1927</v>
      </c>
      <c r="L5" s="22"/>
      <c r="M5" s="19"/>
      <c r="N5" s="25"/>
      <c r="O5" s="11"/>
      <c r="P5" s="28"/>
      <c r="Q5" s="25"/>
    </row>
    <row r="6" spans="1:17" hidden="1" x14ac:dyDescent="0.25">
      <c r="A6" s="11" t="s">
        <v>2</v>
      </c>
      <c r="B6" s="11" t="s">
        <v>7</v>
      </c>
      <c r="C6" s="4" t="s">
        <v>18</v>
      </c>
      <c r="D6" s="17">
        <v>1100000</v>
      </c>
      <c r="E6" s="20">
        <v>260</v>
      </c>
      <c r="F6" s="4">
        <v>23687</v>
      </c>
      <c r="G6" s="4">
        <f>4319+186</f>
        <v>4505</v>
      </c>
      <c r="H6" s="4">
        <v>0</v>
      </c>
      <c r="I6" s="4">
        <v>75</v>
      </c>
      <c r="J6" s="20">
        <v>5000</v>
      </c>
      <c r="K6" s="4">
        <f t="shared" si="0"/>
        <v>19257</v>
      </c>
      <c r="L6" s="20">
        <f>SUM(K6:K7)-J6</f>
        <v>17007</v>
      </c>
      <c r="M6" s="17">
        <f>D6</f>
        <v>1100000</v>
      </c>
      <c r="N6" s="23">
        <f>L6*E6</f>
        <v>4421820</v>
      </c>
      <c r="O6" s="10">
        <f>SUM(M6:N7)</f>
        <v>5521820</v>
      </c>
      <c r="P6" s="26">
        <v>0</v>
      </c>
      <c r="Q6" s="23">
        <f>O6*(1-P6)</f>
        <v>5521820</v>
      </c>
    </row>
    <row r="7" spans="1:17" hidden="1" x14ac:dyDescent="0.25">
      <c r="A7" s="11"/>
      <c r="B7" s="11"/>
      <c r="C7" s="4" t="s">
        <v>19</v>
      </c>
      <c r="D7" s="19">
        <v>1100000</v>
      </c>
      <c r="E7" s="22">
        <v>260</v>
      </c>
      <c r="F7" s="4">
        <v>6475</v>
      </c>
      <c r="G7" s="4">
        <f>3456+296</f>
        <v>3752</v>
      </c>
      <c r="H7" s="4">
        <v>0</v>
      </c>
      <c r="I7" s="4">
        <v>27</v>
      </c>
      <c r="J7" s="22"/>
      <c r="K7" s="4">
        <f t="shared" si="0"/>
        <v>2750</v>
      </c>
      <c r="L7" s="22"/>
      <c r="M7" s="19"/>
      <c r="N7" s="25"/>
      <c r="O7" s="11"/>
      <c r="P7" s="28"/>
      <c r="Q7" s="25"/>
    </row>
    <row r="8" spans="1:17" hidden="1" x14ac:dyDescent="0.25">
      <c r="A8" s="11" t="s">
        <v>22</v>
      </c>
      <c r="B8" s="11" t="s">
        <v>23</v>
      </c>
      <c r="C8" s="4" t="s">
        <v>18</v>
      </c>
      <c r="D8" s="17">
        <v>1100000</v>
      </c>
      <c r="E8" s="20">
        <v>260</v>
      </c>
      <c r="F8" s="4">
        <v>23294</v>
      </c>
      <c r="G8" s="4">
        <f>3598+135</f>
        <v>3733</v>
      </c>
      <c r="H8" s="4">
        <v>0</v>
      </c>
      <c r="I8" s="4">
        <v>80</v>
      </c>
      <c r="J8" s="20">
        <v>5000</v>
      </c>
      <c r="K8" s="4">
        <f t="shared" si="0"/>
        <v>19641</v>
      </c>
      <c r="L8" s="20">
        <f>SUM(K8:K9)-J8</f>
        <v>17597</v>
      </c>
      <c r="M8" s="17">
        <f>D8</f>
        <v>1100000</v>
      </c>
      <c r="N8" s="23">
        <f>L8*E8</f>
        <v>4575220</v>
      </c>
      <c r="O8" s="10">
        <f>SUM(M8:N9)</f>
        <v>5675220</v>
      </c>
      <c r="P8" s="26">
        <v>0</v>
      </c>
      <c r="Q8" s="23">
        <f>O8*(1-P8)</f>
        <v>5675220</v>
      </c>
    </row>
    <row r="9" spans="1:17" hidden="1" x14ac:dyDescent="0.25">
      <c r="A9" s="11"/>
      <c r="B9" s="11"/>
      <c r="C9" s="4" t="s">
        <v>19</v>
      </c>
      <c r="D9" s="19">
        <v>1100000</v>
      </c>
      <c r="E9" s="22">
        <v>260</v>
      </c>
      <c r="F9" s="4">
        <v>6287</v>
      </c>
      <c r="G9" s="4">
        <f>3126+231</f>
        <v>3357</v>
      </c>
      <c r="H9" s="4">
        <v>0</v>
      </c>
      <c r="I9" s="4">
        <v>26</v>
      </c>
      <c r="J9" s="22"/>
      <c r="K9" s="4">
        <f t="shared" si="0"/>
        <v>2956</v>
      </c>
      <c r="L9" s="22"/>
      <c r="M9" s="19"/>
      <c r="N9" s="25"/>
      <c r="O9" s="11"/>
      <c r="P9" s="28"/>
      <c r="Q9" s="25"/>
    </row>
    <row r="10" spans="1:17" hidden="1" x14ac:dyDescent="0.25">
      <c r="A10" s="11" t="s">
        <v>26</v>
      </c>
      <c r="B10" s="11" t="s">
        <v>24</v>
      </c>
      <c r="C10" s="4" t="s">
        <v>18</v>
      </c>
      <c r="D10" s="17">
        <v>1100000</v>
      </c>
      <c r="E10" s="20">
        <v>260</v>
      </c>
      <c r="F10" s="4">
        <v>25216</v>
      </c>
      <c r="G10" s="4">
        <f>4005+153</f>
        <v>4158</v>
      </c>
      <c r="H10" s="4">
        <v>0</v>
      </c>
      <c r="I10" s="4">
        <v>130</v>
      </c>
      <c r="J10" s="20">
        <v>5000</v>
      </c>
      <c r="K10" s="4">
        <f t="shared" ref="K10:K11" si="1">SUM(F10,H10,I10)-G10</f>
        <v>21188</v>
      </c>
      <c r="L10" s="20">
        <f>SUM(K10:K11)-J10</f>
        <v>20539</v>
      </c>
      <c r="M10" s="17">
        <f>D10</f>
        <v>1100000</v>
      </c>
      <c r="N10" s="23">
        <f>L10*E10</f>
        <v>5340140</v>
      </c>
      <c r="O10" s="10">
        <f>SUM(M10:N11)</f>
        <v>6440140</v>
      </c>
      <c r="P10" s="26">
        <v>0</v>
      </c>
      <c r="Q10" s="23">
        <f>O10*(1-P10)</f>
        <v>6440140</v>
      </c>
    </row>
    <row r="11" spans="1:17" hidden="1" x14ac:dyDescent="0.25">
      <c r="A11" s="11"/>
      <c r="B11" s="11"/>
      <c r="C11" s="4" t="s">
        <v>19</v>
      </c>
      <c r="D11" s="19">
        <v>1100000</v>
      </c>
      <c r="E11" s="22">
        <v>260</v>
      </c>
      <c r="F11" s="4">
        <v>8262</v>
      </c>
      <c r="G11" s="4">
        <f>3712+257</f>
        <v>3969</v>
      </c>
      <c r="H11" s="4">
        <v>0</v>
      </c>
      <c r="I11" s="4">
        <v>58</v>
      </c>
      <c r="J11" s="22"/>
      <c r="K11" s="4">
        <f t="shared" si="1"/>
        <v>4351</v>
      </c>
      <c r="L11" s="22"/>
      <c r="M11" s="19"/>
      <c r="N11" s="25"/>
      <c r="O11" s="11"/>
      <c r="P11" s="28"/>
      <c r="Q11" s="25"/>
    </row>
    <row r="12" spans="1:17" hidden="1" x14ac:dyDescent="0.25">
      <c r="A12" s="11" t="s">
        <v>27</v>
      </c>
      <c r="B12" s="11" t="s">
        <v>28</v>
      </c>
      <c r="C12" s="4" t="s">
        <v>18</v>
      </c>
      <c r="D12" s="17">
        <v>1100000</v>
      </c>
      <c r="E12" s="20">
        <v>260</v>
      </c>
      <c r="F12" s="4">
        <v>18420</v>
      </c>
      <c r="G12" s="4">
        <f>4090+65</f>
        <v>4155</v>
      </c>
      <c r="H12" s="4">
        <v>0</v>
      </c>
      <c r="I12" s="4">
        <v>70</v>
      </c>
      <c r="J12" s="20">
        <v>5000</v>
      </c>
      <c r="K12" s="4">
        <f t="shared" ref="K12:K13" si="2">SUM(F12,H12,I12)-G12</f>
        <v>14335</v>
      </c>
      <c r="L12" s="20">
        <f>SUM(K12:K13)-J12</f>
        <v>12834</v>
      </c>
      <c r="M12" s="17">
        <f>D12</f>
        <v>1100000</v>
      </c>
      <c r="N12" s="23">
        <f>L12*E12</f>
        <v>3336840</v>
      </c>
      <c r="O12" s="10">
        <f>SUM(M12:N13)</f>
        <v>4436840</v>
      </c>
      <c r="P12" s="26">
        <v>0.2</v>
      </c>
      <c r="Q12" s="23">
        <f>O12*(1-P12)</f>
        <v>3549472</v>
      </c>
    </row>
    <row r="13" spans="1:17" hidden="1" x14ac:dyDescent="0.25">
      <c r="A13" s="11"/>
      <c r="B13" s="11"/>
      <c r="C13" s="4" t="s">
        <v>19</v>
      </c>
      <c r="D13" s="19">
        <v>1100000</v>
      </c>
      <c r="E13" s="22">
        <v>260</v>
      </c>
      <c r="F13" s="4">
        <v>6462</v>
      </c>
      <c r="G13" s="4">
        <f>2871+125</f>
        <v>2996</v>
      </c>
      <c r="H13" s="4">
        <v>0</v>
      </c>
      <c r="I13" s="4">
        <v>33</v>
      </c>
      <c r="J13" s="22"/>
      <c r="K13" s="4">
        <f t="shared" si="2"/>
        <v>3499</v>
      </c>
      <c r="L13" s="22"/>
      <c r="M13" s="19"/>
      <c r="N13" s="25"/>
      <c r="O13" s="11"/>
      <c r="P13" s="28"/>
      <c r="Q13" s="25"/>
    </row>
    <row r="14" spans="1:17" hidden="1" x14ac:dyDescent="0.25">
      <c r="A14" s="11" t="s">
        <v>32</v>
      </c>
      <c r="B14" s="11" t="s">
        <v>31</v>
      </c>
      <c r="C14" s="4" t="s">
        <v>18</v>
      </c>
      <c r="D14" s="17">
        <v>1100000</v>
      </c>
      <c r="E14" s="20">
        <v>260</v>
      </c>
      <c r="F14" s="4">
        <v>16615</v>
      </c>
      <c r="G14" s="4">
        <f>4825+47</f>
        <v>4872</v>
      </c>
      <c r="H14" s="4">
        <v>0</v>
      </c>
      <c r="I14" s="4">
        <v>101</v>
      </c>
      <c r="J14" s="20">
        <v>5000</v>
      </c>
      <c r="K14" s="4">
        <f t="shared" ref="K14:K15" si="3">SUM(F14,H14,I14)-G14</f>
        <v>11844</v>
      </c>
      <c r="L14" s="20">
        <f>SUM(K14:K15)-J14</f>
        <v>9433</v>
      </c>
      <c r="M14" s="17">
        <f>D14</f>
        <v>1100000</v>
      </c>
      <c r="N14" s="23">
        <f>L14*E14</f>
        <v>2452580</v>
      </c>
      <c r="O14" s="10">
        <f>SUM(M14:N15)</f>
        <v>3552580</v>
      </c>
      <c r="P14" s="26">
        <v>0.2</v>
      </c>
      <c r="Q14" s="23">
        <f>O14*(1-P14)</f>
        <v>2842064</v>
      </c>
    </row>
    <row r="15" spans="1:17" hidden="1" x14ac:dyDescent="0.25">
      <c r="A15" s="11"/>
      <c r="B15" s="11"/>
      <c r="C15" s="4" t="s">
        <v>19</v>
      </c>
      <c r="D15" s="19">
        <v>1100000</v>
      </c>
      <c r="E15" s="22">
        <v>260</v>
      </c>
      <c r="F15" s="4">
        <v>5815</v>
      </c>
      <c r="G15" s="4">
        <f>3180+97</f>
        <v>3277</v>
      </c>
      <c r="H15" s="4">
        <v>0</v>
      </c>
      <c r="I15" s="4">
        <v>51</v>
      </c>
      <c r="J15" s="22"/>
      <c r="K15" s="4">
        <f t="shared" si="3"/>
        <v>2589</v>
      </c>
      <c r="L15" s="22"/>
      <c r="M15" s="19"/>
      <c r="N15" s="25"/>
      <c r="O15" s="11"/>
      <c r="P15" s="28"/>
      <c r="Q15" s="25"/>
    </row>
    <row r="16" spans="1:17" hidden="1" x14ac:dyDescent="0.25">
      <c r="A16" s="11" t="s">
        <v>34</v>
      </c>
      <c r="B16" s="11" t="s">
        <v>33</v>
      </c>
      <c r="C16" s="4" t="s">
        <v>18</v>
      </c>
      <c r="D16" s="12">
        <v>1100000</v>
      </c>
      <c r="E16" s="11">
        <v>260</v>
      </c>
      <c r="F16" s="4">
        <v>18287</v>
      </c>
      <c r="G16" s="4">
        <f>4765+47</f>
        <v>4812</v>
      </c>
      <c r="H16" s="4">
        <v>0</v>
      </c>
      <c r="I16" s="4">
        <v>132</v>
      </c>
      <c r="J16" s="11">
        <v>5000</v>
      </c>
      <c r="K16" s="4">
        <f t="shared" ref="K16:K18" si="4">SUM(F16,H16,I16)-G16</f>
        <v>13607</v>
      </c>
      <c r="L16" s="11">
        <f>SUM(K16:K18)-J16</f>
        <v>16614</v>
      </c>
      <c r="M16" s="12">
        <f>D16</f>
        <v>1100000</v>
      </c>
      <c r="N16" s="10">
        <f>L16*E16</f>
        <v>4319640</v>
      </c>
      <c r="O16" s="10">
        <f>SUM(M16:N18)</f>
        <v>5419640</v>
      </c>
      <c r="P16" s="13">
        <v>0.2</v>
      </c>
      <c r="Q16" s="10">
        <f>O16*(1-P16)</f>
        <v>4335712</v>
      </c>
    </row>
    <row r="17" spans="1:17" hidden="1" x14ac:dyDescent="0.25">
      <c r="A17" s="11"/>
      <c r="B17" s="11"/>
      <c r="C17" s="4" t="s">
        <v>19</v>
      </c>
      <c r="D17" s="12"/>
      <c r="E17" s="11"/>
      <c r="F17" s="4">
        <v>12879</v>
      </c>
      <c r="G17" s="4">
        <f>4928+93</f>
        <v>5021</v>
      </c>
      <c r="H17" s="4">
        <v>0</v>
      </c>
      <c r="I17" s="4">
        <v>119</v>
      </c>
      <c r="J17" s="11"/>
      <c r="K17" s="4">
        <f t="shared" si="4"/>
        <v>7977</v>
      </c>
      <c r="L17" s="11"/>
      <c r="M17" s="12"/>
      <c r="N17" s="10"/>
      <c r="O17" s="10"/>
      <c r="P17" s="13"/>
      <c r="Q17" s="10"/>
    </row>
    <row r="18" spans="1:17" hidden="1" x14ac:dyDescent="0.25">
      <c r="A18" s="11"/>
      <c r="B18" s="11"/>
      <c r="C18" s="4" t="s">
        <v>35</v>
      </c>
      <c r="D18" s="12"/>
      <c r="E18" s="11"/>
      <c r="F18" s="4">
        <v>30</v>
      </c>
      <c r="G18" s="4">
        <v>0</v>
      </c>
      <c r="H18" s="4">
        <v>0</v>
      </c>
      <c r="I18" s="4">
        <v>0</v>
      </c>
      <c r="J18" s="11"/>
      <c r="K18" s="4">
        <f t="shared" si="4"/>
        <v>30</v>
      </c>
      <c r="L18" s="11"/>
      <c r="M18" s="12"/>
      <c r="N18" s="10"/>
      <c r="O18" s="10"/>
      <c r="P18" s="13"/>
      <c r="Q18" s="10"/>
    </row>
    <row r="19" spans="1:17" hidden="1" x14ac:dyDescent="0.25">
      <c r="A19" s="11" t="s">
        <v>37</v>
      </c>
      <c r="B19" s="11" t="s">
        <v>36</v>
      </c>
      <c r="C19" s="4" t="s">
        <v>18</v>
      </c>
      <c r="D19" s="12">
        <v>880000</v>
      </c>
      <c r="E19" s="11">
        <v>208</v>
      </c>
      <c r="F19" s="4">
        <v>18489</v>
      </c>
      <c r="G19" s="4">
        <f>5559+54</f>
        <v>5613</v>
      </c>
      <c r="H19" s="4">
        <v>0</v>
      </c>
      <c r="I19" s="4">
        <v>109</v>
      </c>
      <c r="J19" s="11">
        <v>5000</v>
      </c>
      <c r="K19" s="4">
        <f t="shared" ref="K19:K21" si="5">SUM(F19,H19,I19)-G19</f>
        <v>12985</v>
      </c>
      <c r="L19" s="11">
        <f>SUM(K19:K21)-J19</f>
        <v>10406</v>
      </c>
      <c r="M19" s="12">
        <f>D19</f>
        <v>880000</v>
      </c>
      <c r="N19" s="10">
        <f>L19*E19</f>
        <v>2164448</v>
      </c>
      <c r="O19" s="10">
        <f>SUM(M19:N21)</f>
        <v>3044448</v>
      </c>
      <c r="P19" s="13">
        <v>0</v>
      </c>
      <c r="Q19" s="10">
        <f>O19*(1-P19)</f>
        <v>3044448</v>
      </c>
    </row>
    <row r="20" spans="1:17" hidden="1" x14ac:dyDescent="0.25">
      <c r="A20" s="11"/>
      <c r="B20" s="11"/>
      <c r="C20" s="4" t="s">
        <v>19</v>
      </c>
      <c r="D20" s="12"/>
      <c r="E20" s="11"/>
      <c r="F20" s="4">
        <v>6376</v>
      </c>
      <c r="G20" s="4">
        <f>3959+88</f>
        <v>4047</v>
      </c>
      <c r="H20" s="4">
        <v>0</v>
      </c>
      <c r="I20" s="4">
        <v>71</v>
      </c>
      <c r="J20" s="11"/>
      <c r="K20" s="4">
        <f t="shared" si="5"/>
        <v>2400</v>
      </c>
      <c r="L20" s="11"/>
      <c r="M20" s="12"/>
      <c r="N20" s="10"/>
      <c r="O20" s="10"/>
      <c r="P20" s="13"/>
      <c r="Q20" s="10"/>
    </row>
    <row r="21" spans="1:17" hidden="1" x14ac:dyDescent="0.25">
      <c r="A21" s="11"/>
      <c r="B21" s="11"/>
      <c r="C21" s="4" t="s">
        <v>35</v>
      </c>
      <c r="D21" s="12"/>
      <c r="E21" s="11"/>
      <c r="F21" s="4">
        <v>21</v>
      </c>
      <c r="G21" s="4">
        <v>0</v>
      </c>
      <c r="H21" s="4">
        <v>0</v>
      </c>
      <c r="I21" s="4">
        <v>0</v>
      </c>
      <c r="J21" s="11"/>
      <c r="K21" s="4">
        <f t="shared" si="5"/>
        <v>21</v>
      </c>
      <c r="L21" s="11"/>
      <c r="M21" s="12"/>
      <c r="N21" s="10"/>
      <c r="O21" s="10"/>
      <c r="P21" s="13"/>
      <c r="Q21" s="10"/>
    </row>
    <row r="22" spans="1:17" hidden="1" x14ac:dyDescent="0.25">
      <c r="A22" s="11" t="s">
        <v>39</v>
      </c>
      <c r="B22" s="11" t="s">
        <v>38</v>
      </c>
      <c r="C22" s="4" t="s">
        <v>18</v>
      </c>
      <c r="D22" s="12">
        <v>880000</v>
      </c>
      <c r="E22" s="11">
        <v>208</v>
      </c>
      <c r="F22" s="4">
        <v>23379</v>
      </c>
      <c r="G22" s="4">
        <f>6547+57</f>
        <v>6604</v>
      </c>
      <c r="H22" s="4">
        <v>0</v>
      </c>
      <c r="I22" s="4">
        <v>130</v>
      </c>
      <c r="J22" s="11">
        <v>5000</v>
      </c>
      <c r="K22" s="4">
        <f t="shared" ref="K22:K24" si="6">SUM(F22,H22,I22)-G22</f>
        <v>16905</v>
      </c>
      <c r="L22" s="11">
        <f>SUM(K22:K24)-J22</f>
        <v>15760</v>
      </c>
      <c r="M22" s="12">
        <f>D22</f>
        <v>880000</v>
      </c>
      <c r="N22" s="10">
        <f>L22*E22</f>
        <v>3278080</v>
      </c>
      <c r="O22" s="10">
        <f>SUM(M22:N24)</f>
        <v>4158080</v>
      </c>
      <c r="P22" s="13">
        <v>0</v>
      </c>
      <c r="Q22" s="10">
        <f>O22*(1-P22)</f>
        <v>4158080</v>
      </c>
    </row>
    <row r="23" spans="1:17" hidden="1" x14ac:dyDescent="0.25">
      <c r="A23" s="11"/>
      <c r="B23" s="11"/>
      <c r="C23" s="4" t="s">
        <v>19</v>
      </c>
      <c r="D23" s="12"/>
      <c r="E23" s="11"/>
      <c r="F23" s="4">
        <v>8564</v>
      </c>
      <c r="G23" s="4">
        <f>4715+90</f>
        <v>4805</v>
      </c>
      <c r="H23" s="4">
        <v>0</v>
      </c>
      <c r="I23" s="4">
        <v>67</v>
      </c>
      <c r="J23" s="11"/>
      <c r="K23" s="4">
        <f t="shared" si="6"/>
        <v>3826</v>
      </c>
      <c r="L23" s="11"/>
      <c r="M23" s="12"/>
      <c r="N23" s="10"/>
      <c r="O23" s="10"/>
      <c r="P23" s="13"/>
      <c r="Q23" s="10"/>
    </row>
    <row r="24" spans="1:17" hidden="1" x14ac:dyDescent="0.25">
      <c r="A24" s="11"/>
      <c r="B24" s="11"/>
      <c r="C24" s="4" t="s">
        <v>35</v>
      </c>
      <c r="D24" s="12"/>
      <c r="E24" s="11"/>
      <c r="F24" s="4">
        <v>29</v>
      </c>
      <c r="G24" s="4">
        <v>0</v>
      </c>
      <c r="H24" s="4">
        <v>0</v>
      </c>
      <c r="I24" s="4">
        <v>0</v>
      </c>
      <c r="J24" s="11"/>
      <c r="K24" s="4">
        <f t="shared" si="6"/>
        <v>29</v>
      </c>
      <c r="L24" s="11"/>
      <c r="M24" s="12"/>
      <c r="N24" s="10"/>
      <c r="O24" s="10"/>
      <c r="P24" s="13"/>
      <c r="Q24" s="10"/>
    </row>
    <row r="25" spans="1:17" hidden="1" x14ac:dyDescent="0.25">
      <c r="A25" s="11" t="s">
        <v>40</v>
      </c>
      <c r="B25" s="11" t="s">
        <v>42</v>
      </c>
      <c r="C25" s="4" t="s">
        <v>18</v>
      </c>
      <c r="D25" s="12">
        <v>880000</v>
      </c>
      <c r="E25" s="11">
        <v>208</v>
      </c>
      <c r="F25" s="4">
        <v>23317</v>
      </c>
      <c r="G25" s="4">
        <f>6000+54</f>
        <v>6054</v>
      </c>
      <c r="H25" s="4">
        <v>0</v>
      </c>
      <c r="I25" s="4">
        <v>71</v>
      </c>
      <c r="J25" s="11">
        <v>5000</v>
      </c>
      <c r="K25" s="4">
        <f t="shared" ref="K25:K27" si="7">SUM(F25,H25,I25)-G25</f>
        <v>17334</v>
      </c>
      <c r="L25" s="11">
        <f>SUM(K25:K27)-J25</f>
        <v>16191</v>
      </c>
      <c r="M25" s="12">
        <f>D25</f>
        <v>880000</v>
      </c>
      <c r="N25" s="10">
        <f>L25*E25</f>
        <v>3367728</v>
      </c>
      <c r="O25" s="10">
        <f>SUM(M25:N27)</f>
        <v>4247728</v>
      </c>
      <c r="P25" s="13">
        <v>0</v>
      </c>
      <c r="Q25" s="10">
        <f>O25*(1-P25)</f>
        <v>4247728</v>
      </c>
    </row>
    <row r="26" spans="1:17" hidden="1" x14ac:dyDescent="0.25">
      <c r="A26" s="11"/>
      <c r="B26" s="11"/>
      <c r="C26" s="4" t="s">
        <v>19</v>
      </c>
      <c r="D26" s="12"/>
      <c r="E26" s="11"/>
      <c r="F26" s="4">
        <v>7982</v>
      </c>
      <c r="G26" s="4">
        <f>4142+89</f>
        <v>4231</v>
      </c>
      <c r="H26" s="4">
        <v>0</v>
      </c>
      <c r="I26" s="4">
        <v>52</v>
      </c>
      <c r="J26" s="11"/>
      <c r="K26" s="4">
        <f t="shared" si="7"/>
        <v>3803</v>
      </c>
      <c r="L26" s="11"/>
      <c r="M26" s="12"/>
      <c r="N26" s="10"/>
      <c r="O26" s="10"/>
      <c r="P26" s="13"/>
      <c r="Q26" s="10"/>
    </row>
    <row r="27" spans="1:17" hidden="1" x14ac:dyDescent="0.25">
      <c r="A27" s="11"/>
      <c r="B27" s="11"/>
      <c r="C27" s="4" t="s">
        <v>35</v>
      </c>
      <c r="D27" s="12"/>
      <c r="E27" s="11"/>
      <c r="F27" s="4">
        <v>54</v>
      </c>
      <c r="G27" s="4">
        <v>0</v>
      </c>
      <c r="H27" s="4">
        <v>0</v>
      </c>
      <c r="I27" s="4">
        <v>0</v>
      </c>
      <c r="J27" s="11"/>
      <c r="K27" s="4">
        <f t="shared" si="7"/>
        <v>54</v>
      </c>
      <c r="L27" s="11"/>
      <c r="M27" s="12"/>
      <c r="N27" s="10"/>
      <c r="O27" s="10"/>
      <c r="P27" s="13"/>
      <c r="Q27" s="10"/>
    </row>
    <row r="28" spans="1:17" hidden="1" x14ac:dyDescent="0.25">
      <c r="A28" s="11" t="s">
        <v>41</v>
      </c>
      <c r="B28" s="11" t="s">
        <v>43</v>
      </c>
      <c r="C28" s="4" t="s">
        <v>18</v>
      </c>
      <c r="D28" s="12">
        <v>880000</v>
      </c>
      <c r="E28" s="11">
        <v>208</v>
      </c>
      <c r="F28" s="4">
        <v>21151</v>
      </c>
      <c r="G28" s="4">
        <f>6990+46</f>
        <v>7036</v>
      </c>
      <c r="H28" s="4">
        <v>0</v>
      </c>
      <c r="I28" s="4">
        <v>74</v>
      </c>
      <c r="J28" s="11">
        <v>5000</v>
      </c>
      <c r="K28" s="4">
        <f t="shared" ref="K28:K30" si="8">SUM(F28,H28,I28)-G28</f>
        <v>14189</v>
      </c>
      <c r="L28" s="11">
        <f>SUM(K28:K30)-J28</f>
        <v>12858</v>
      </c>
      <c r="M28" s="12">
        <f>D28</f>
        <v>880000</v>
      </c>
      <c r="N28" s="10">
        <f>L28*E28</f>
        <v>2674464</v>
      </c>
      <c r="O28" s="10">
        <f>SUM(M28:N30)</f>
        <v>3554464</v>
      </c>
      <c r="P28" s="13">
        <v>0</v>
      </c>
      <c r="Q28" s="10">
        <f>O28*(1-P28)</f>
        <v>3554464</v>
      </c>
    </row>
    <row r="29" spans="1:17" hidden="1" x14ac:dyDescent="0.25">
      <c r="A29" s="11"/>
      <c r="B29" s="11"/>
      <c r="C29" s="4" t="s">
        <v>19</v>
      </c>
      <c r="D29" s="12"/>
      <c r="E29" s="11"/>
      <c r="F29" s="4">
        <v>7581</v>
      </c>
      <c r="G29" s="4">
        <f>3918+67</f>
        <v>3985</v>
      </c>
      <c r="H29" s="4">
        <v>0</v>
      </c>
      <c r="I29" s="4">
        <v>32</v>
      </c>
      <c r="J29" s="11"/>
      <c r="K29" s="4">
        <f t="shared" si="8"/>
        <v>3628</v>
      </c>
      <c r="L29" s="11"/>
      <c r="M29" s="12"/>
      <c r="N29" s="10"/>
      <c r="O29" s="10"/>
      <c r="P29" s="13"/>
      <c r="Q29" s="10"/>
    </row>
    <row r="30" spans="1:17" hidden="1" x14ac:dyDescent="0.25">
      <c r="A30" s="11"/>
      <c r="B30" s="11"/>
      <c r="C30" s="4" t="s">
        <v>35</v>
      </c>
      <c r="D30" s="12"/>
      <c r="E30" s="11"/>
      <c r="F30" s="4">
        <v>41</v>
      </c>
      <c r="G30" s="4">
        <v>0</v>
      </c>
      <c r="H30" s="4">
        <v>0</v>
      </c>
      <c r="I30" s="4">
        <v>0</v>
      </c>
      <c r="J30" s="11"/>
      <c r="K30" s="4">
        <f t="shared" si="8"/>
        <v>41</v>
      </c>
      <c r="L30" s="11"/>
      <c r="M30" s="12"/>
      <c r="N30" s="10"/>
      <c r="O30" s="10"/>
      <c r="P30" s="13"/>
      <c r="Q30" s="10"/>
    </row>
    <row r="31" spans="1:17" hidden="1" x14ac:dyDescent="0.25">
      <c r="A31" s="11" t="s">
        <v>44</v>
      </c>
      <c r="B31" s="11" t="s">
        <v>5</v>
      </c>
      <c r="C31" s="4" t="s">
        <v>18</v>
      </c>
      <c r="D31" s="17">
        <v>1800000</v>
      </c>
      <c r="E31" s="20">
        <v>384</v>
      </c>
      <c r="F31" s="4">
        <v>18995</v>
      </c>
      <c r="G31" s="4">
        <f>8413+24</f>
        <v>8437</v>
      </c>
      <c r="H31" s="4">
        <v>0</v>
      </c>
      <c r="I31" s="4">
        <v>64</v>
      </c>
      <c r="J31" s="11">
        <v>5000</v>
      </c>
      <c r="K31" s="4">
        <f t="shared" ref="K31:K33" si="9">SUM(F31,H31,I31)-G31</f>
        <v>10622</v>
      </c>
      <c r="L31" s="11">
        <f>SUM(K31:K33)-J31</f>
        <v>9950</v>
      </c>
      <c r="M31" s="12">
        <f>D31</f>
        <v>1800000</v>
      </c>
      <c r="N31" s="10">
        <f>L31*E31</f>
        <v>3820800</v>
      </c>
      <c r="O31" s="10">
        <f>SUM(M31:N33)</f>
        <v>5620800</v>
      </c>
      <c r="P31" s="13">
        <v>0</v>
      </c>
      <c r="Q31" s="10">
        <f>O31*(1-P31)</f>
        <v>5620800</v>
      </c>
    </row>
    <row r="32" spans="1:17" hidden="1" x14ac:dyDescent="0.25">
      <c r="A32" s="11"/>
      <c r="B32" s="11"/>
      <c r="C32" s="4" t="s">
        <v>19</v>
      </c>
      <c r="D32" s="18"/>
      <c r="E32" s="21"/>
      <c r="F32" s="4">
        <v>10279</v>
      </c>
      <c r="G32" s="4">
        <f>5970+77</f>
        <v>6047</v>
      </c>
      <c r="H32" s="4">
        <v>0</v>
      </c>
      <c r="I32" s="4">
        <v>59</v>
      </c>
      <c r="J32" s="11"/>
      <c r="K32" s="4">
        <f t="shared" si="9"/>
        <v>4291</v>
      </c>
      <c r="L32" s="11"/>
      <c r="M32" s="12"/>
      <c r="N32" s="10"/>
      <c r="O32" s="10"/>
      <c r="P32" s="13"/>
      <c r="Q32" s="10"/>
    </row>
    <row r="33" spans="1:19" hidden="1" x14ac:dyDescent="0.25">
      <c r="A33" s="11"/>
      <c r="B33" s="11"/>
      <c r="C33" s="4" t="s">
        <v>35</v>
      </c>
      <c r="D33" s="19"/>
      <c r="E33" s="22"/>
      <c r="F33" s="4">
        <v>37</v>
      </c>
      <c r="G33" s="4">
        <v>0</v>
      </c>
      <c r="H33" s="4">
        <v>0</v>
      </c>
      <c r="I33" s="4">
        <v>0</v>
      </c>
      <c r="J33" s="11"/>
      <c r="K33" s="4">
        <f t="shared" si="9"/>
        <v>37</v>
      </c>
      <c r="L33" s="11"/>
      <c r="M33" s="12"/>
      <c r="N33" s="10"/>
      <c r="O33" s="10"/>
      <c r="P33" s="13"/>
      <c r="Q33" s="10"/>
    </row>
    <row r="34" spans="1:19" hidden="1" x14ac:dyDescent="0.25">
      <c r="A34" s="11" t="s">
        <v>45</v>
      </c>
      <c r="B34" s="11" t="s">
        <v>6</v>
      </c>
      <c r="C34" s="4" t="s">
        <v>18</v>
      </c>
      <c r="D34" s="17">
        <v>1800000</v>
      </c>
      <c r="E34" s="20">
        <v>384</v>
      </c>
      <c r="F34" s="4">
        <v>23834</v>
      </c>
      <c r="G34" s="4">
        <f>7254+38</f>
        <v>7292</v>
      </c>
      <c r="H34" s="4">
        <v>0</v>
      </c>
      <c r="I34" s="4">
        <v>54</v>
      </c>
      <c r="J34" s="11">
        <v>5000</v>
      </c>
      <c r="K34" s="4">
        <f t="shared" ref="K34:K36" si="10">SUM(F34,H34,I34)-G34</f>
        <v>16596</v>
      </c>
      <c r="L34" s="11">
        <f>SUM(K34:K36)-J34</f>
        <v>15897</v>
      </c>
      <c r="M34" s="12">
        <f>D34</f>
        <v>1800000</v>
      </c>
      <c r="N34" s="10">
        <f>L34*E34</f>
        <v>6104448</v>
      </c>
      <c r="O34" s="10">
        <f>SUM(M34:N36)</f>
        <v>7904448</v>
      </c>
      <c r="P34" s="13">
        <v>0</v>
      </c>
      <c r="Q34" s="10">
        <f>O34*(1-P34)</f>
        <v>7904448</v>
      </c>
    </row>
    <row r="35" spans="1:19" hidden="1" x14ac:dyDescent="0.25">
      <c r="A35" s="11"/>
      <c r="B35" s="11"/>
      <c r="C35" s="4" t="s">
        <v>19</v>
      </c>
      <c r="D35" s="18"/>
      <c r="E35" s="21"/>
      <c r="F35" s="4">
        <v>8858</v>
      </c>
      <c r="G35" s="4">
        <f>4579+71</f>
        <v>4650</v>
      </c>
      <c r="H35" s="4">
        <v>0</v>
      </c>
      <c r="I35" s="4">
        <v>44</v>
      </c>
      <c r="J35" s="11"/>
      <c r="K35" s="4">
        <f t="shared" si="10"/>
        <v>4252</v>
      </c>
      <c r="L35" s="11"/>
      <c r="M35" s="12"/>
      <c r="N35" s="10"/>
      <c r="O35" s="10"/>
      <c r="P35" s="13"/>
      <c r="Q35" s="10"/>
    </row>
    <row r="36" spans="1:19" hidden="1" x14ac:dyDescent="0.25">
      <c r="A36" s="11"/>
      <c r="B36" s="11"/>
      <c r="C36" s="4" t="s">
        <v>35</v>
      </c>
      <c r="D36" s="19"/>
      <c r="E36" s="22"/>
      <c r="F36" s="4">
        <v>49</v>
      </c>
      <c r="G36" s="4">
        <v>0</v>
      </c>
      <c r="H36" s="4">
        <v>0</v>
      </c>
      <c r="I36" s="4">
        <v>0</v>
      </c>
      <c r="J36" s="11"/>
      <c r="K36" s="4">
        <f t="shared" si="10"/>
        <v>49</v>
      </c>
      <c r="L36" s="11"/>
      <c r="M36" s="12"/>
      <c r="N36" s="10"/>
      <c r="O36" s="10"/>
      <c r="P36" s="13"/>
      <c r="Q36" s="10"/>
    </row>
    <row r="37" spans="1:19" hidden="1" x14ac:dyDescent="0.25">
      <c r="A37" s="11" t="s">
        <v>46</v>
      </c>
      <c r="B37" s="11" t="s">
        <v>7</v>
      </c>
      <c r="C37" s="4" t="s">
        <v>18</v>
      </c>
      <c r="D37" s="17">
        <v>1800000</v>
      </c>
      <c r="E37" s="20">
        <v>384</v>
      </c>
      <c r="F37" s="4"/>
      <c r="G37" s="4"/>
      <c r="H37" s="4"/>
      <c r="I37" s="4"/>
      <c r="J37" s="11"/>
      <c r="K37" s="4"/>
      <c r="L37" s="11"/>
      <c r="M37" s="12"/>
      <c r="N37" s="10"/>
      <c r="O37" s="10"/>
      <c r="P37" s="13"/>
      <c r="Q37" s="10"/>
    </row>
    <row r="38" spans="1:19" hidden="1" x14ac:dyDescent="0.25">
      <c r="A38" s="11"/>
      <c r="B38" s="11"/>
      <c r="C38" s="4" t="s">
        <v>19</v>
      </c>
      <c r="D38" s="18"/>
      <c r="E38" s="21"/>
      <c r="F38" s="4"/>
      <c r="G38" s="4"/>
      <c r="H38" s="4"/>
      <c r="I38" s="4"/>
      <c r="J38" s="11"/>
      <c r="K38" s="4"/>
      <c r="L38" s="11"/>
      <c r="M38" s="12"/>
      <c r="N38" s="10"/>
      <c r="O38" s="10"/>
      <c r="P38" s="13"/>
      <c r="Q38" s="10"/>
    </row>
    <row r="39" spans="1:19" hidden="1" x14ac:dyDescent="0.25">
      <c r="A39" s="11"/>
      <c r="B39" s="11"/>
      <c r="C39" s="4" t="s">
        <v>35</v>
      </c>
      <c r="D39" s="19"/>
      <c r="E39" s="22"/>
      <c r="F39" s="4"/>
      <c r="G39" s="4"/>
      <c r="H39" s="4"/>
      <c r="I39" s="4"/>
      <c r="J39" s="11"/>
      <c r="K39" s="4"/>
      <c r="L39" s="11"/>
      <c r="M39" s="12"/>
      <c r="N39" s="10"/>
      <c r="O39" s="10"/>
      <c r="P39" s="13"/>
      <c r="Q39" s="10"/>
    </row>
    <row r="40" spans="1:19" hidden="1" x14ac:dyDescent="0.25">
      <c r="A40" s="11" t="s">
        <v>47</v>
      </c>
      <c r="B40" s="11" t="s">
        <v>23</v>
      </c>
      <c r="C40" s="4" t="s">
        <v>18</v>
      </c>
      <c r="D40" s="17">
        <v>1800000</v>
      </c>
      <c r="E40" s="20">
        <v>384</v>
      </c>
      <c r="F40" s="4">
        <v>15838</v>
      </c>
      <c r="G40" s="4">
        <f>5824+56</f>
        <v>5880</v>
      </c>
      <c r="H40" s="4">
        <v>0</v>
      </c>
      <c r="I40" s="4">
        <v>86</v>
      </c>
      <c r="J40" s="11">
        <v>5000</v>
      </c>
      <c r="K40" s="4">
        <f t="shared" ref="K40:K42" si="11">SUM(F40,H40,I40)-G40</f>
        <v>10044</v>
      </c>
      <c r="L40" s="11">
        <f>SUM(K40:K42)-J40</f>
        <v>9427</v>
      </c>
      <c r="M40" s="12">
        <f>D40</f>
        <v>1800000</v>
      </c>
      <c r="N40" s="10">
        <f>L40*E40</f>
        <v>3619968</v>
      </c>
      <c r="O40" s="10">
        <f>SUM(M40:N42)</f>
        <v>5419968</v>
      </c>
      <c r="P40" s="13">
        <v>0</v>
      </c>
      <c r="Q40" s="10">
        <f>O40*(1-P40)</f>
        <v>5419968</v>
      </c>
    </row>
    <row r="41" spans="1:19" hidden="1" x14ac:dyDescent="0.25">
      <c r="A41" s="11"/>
      <c r="B41" s="11"/>
      <c r="C41" s="4" t="s">
        <v>19</v>
      </c>
      <c r="D41" s="18"/>
      <c r="E41" s="21"/>
      <c r="F41" s="4">
        <v>8679</v>
      </c>
      <c r="G41" s="4">
        <f>4292+83</f>
        <v>4375</v>
      </c>
      <c r="H41" s="4">
        <v>0</v>
      </c>
      <c r="I41" s="4">
        <v>53</v>
      </c>
      <c r="J41" s="11"/>
      <c r="K41" s="4">
        <f t="shared" si="11"/>
        <v>4357</v>
      </c>
      <c r="L41" s="11"/>
      <c r="M41" s="12"/>
      <c r="N41" s="10"/>
      <c r="O41" s="10"/>
      <c r="P41" s="13"/>
      <c r="Q41" s="10"/>
    </row>
    <row r="42" spans="1:19" hidden="1" x14ac:dyDescent="0.25">
      <c r="A42" s="11"/>
      <c r="B42" s="11"/>
      <c r="C42" s="4" t="s">
        <v>35</v>
      </c>
      <c r="D42" s="19"/>
      <c r="E42" s="22"/>
      <c r="F42" s="4">
        <v>26</v>
      </c>
      <c r="G42" s="4">
        <v>0</v>
      </c>
      <c r="H42" s="4">
        <v>0</v>
      </c>
      <c r="I42" s="4">
        <v>0</v>
      </c>
      <c r="J42" s="11"/>
      <c r="K42" s="4">
        <f t="shared" si="11"/>
        <v>26</v>
      </c>
      <c r="L42" s="11"/>
      <c r="M42" s="12"/>
      <c r="N42" s="10"/>
      <c r="O42" s="10"/>
      <c r="P42" s="13"/>
      <c r="Q42" s="10"/>
    </row>
    <row r="43" spans="1:19" hidden="1" x14ac:dyDescent="0.25">
      <c r="A43" s="11" t="s">
        <v>48</v>
      </c>
      <c r="B43" s="11" t="s">
        <v>24</v>
      </c>
      <c r="C43" s="4" t="s">
        <v>18</v>
      </c>
      <c r="D43" s="17">
        <v>1800000</v>
      </c>
      <c r="E43" s="20">
        <v>384</v>
      </c>
      <c r="F43" s="4">
        <v>17845</v>
      </c>
      <c r="G43" s="4">
        <f>5460+49</f>
        <v>5509</v>
      </c>
      <c r="H43" s="4">
        <v>0</v>
      </c>
      <c r="I43" s="4">
        <v>84</v>
      </c>
      <c r="J43" s="20">
        <v>5000</v>
      </c>
      <c r="K43" s="4">
        <f t="shared" ref="K43:K46" si="12">SUM(F43,H43,I43)-G43</f>
        <v>12420</v>
      </c>
      <c r="L43" s="20">
        <f>SUM(K43:K46)-J43</f>
        <v>13293</v>
      </c>
      <c r="M43" s="17">
        <f>D43</f>
        <v>1800000</v>
      </c>
      <c r="N43" s="23">
        <f>L43*E43</f>
        <v>5104512</v>
      </c>
      <c r="O43" s="23">
        <f>SUM(M43:N45)</f>
        <v>6904512</v>
      </c>
      <c r="P43" s="26">
        <v>0</v>
      </c>
      <c r="Q43" s="23">
        <f>O43*(1-P43)</f>
        <v>6904512</v>
      </c>
      <c r="R43" s="7"/>
      <c r="S43" s="8"/>
    </row>
    <row r="44" spans="1:19" hidden="1" x14ac:dyDescent="0.25">
      <c r="A44" s="11"/>
      <c r="B44" s="11"/>
      <c r="C44" s="4" t="s">
        <v>19</v>
      </c>
      <c r="D44" s="18"/>
      <c r="E44" s="21"/>
      <c r="F44" s="4">
        <v>9340</v>
      </c>
      <c r="G44" s="4">
        <f>4666+132</f>
        <v>4798</v>
      </c>
      <c r="H44" s="4">
        <v>0</v>
      </c>
      <c r="I44" s="4">
        <v>54</v>
      </c>
      <c r="J44" s="21"/>
      <c r="K44" s="4">
        <f t="shared" si="12"/>
        <v>4596</v>
      </c>
      <c r="L44" s="21"/>
      <c r="M44" s="18"/>
      <c r="N44" s="24"/>
      <c r="O44" s="24"/>
      <c r="P44" s="27"/>
      <c r="Q44" s="24"/>
      <c r="R44" s="7"/>
      <c r="S44" s="8"/>
    </row>
    <row r="45" spans="1:19" hidden="1" x14ac:dyDescent="0.25">
      <c r="A45" s="11"/>
      <c r="B45" s="11"/>
      <c r="C45" s="4" t="s">
        <v>35</v>
      </c>
      <c r="D45" s="18"/>
      <c r="E45" s="21"/>
      <c r="F45" s="4">
        <v>16</v>
      </c>
      <c r="G45" s="4">
        <v>0</v>
      </c>
      <c r="H45" s="4">
        <v>0</v>
      </c>
      <c r="I45" s="4">
        <v>0</v>
      </c>
      <c r="J45" s="21"/>
      <c r="K45" s="4">
        <f t="shared" si="12"/>
        <v>16</v>
      </c>
      <c r="L45" s="21"/>
      <c r="M45" s="18"/>
      <c r="N45" s="24"/>
      <c r="O45" s="24"/>
      <c r="P45" s="27"/>
      <c r="Q45" s="24"/>
      <c r="R45" s="7"/>
      <c r="S45" s="8"/>
    </row>
    <row r="46" spans="1:19" hidden="1" x14ac:dyDescent="0.25">
      <c r="A46" s="11"/>
      <c r="B46" s="11"/>
      <c r="C46" s="4" t="s">
        <v>49</v>
      </c>
      <c r="D46" s="19"/>
      <c r="E46" s="22"/>
      <c r="F46" s="4">
        <v>1555</v>
      </c>
      <c r="G46" s="4">
        <v>302</v>
      </c>
      <c r="H46" s="4">
        <v>0</v>
      </c>
      <c r="I46" s="4">
        <v>8</v>
      </c>
      <c r="J46" s="22"/>
      <c r="K46" s="4">
        <f t="shared" si="12"/>
        <v>1261</v>
      </c>
      <c r="L46" s="22"/>
      <c r="M46" s="19"/>
      <c r="N46" s="25"/>
      <c r="O46" s="25"/>
      <c r="P46" s="28"/>
      <c r="Q46" s="25"/>
      <c r="R46" s="7"/>
      <c r="S46" s="8"/>
    </row>
    <row r="47" spans="1:19" hidden="1" x14ac:dyDescent="0.25">
      <c r="A47" s="11" t="s">
        <v>50</v>
      </c>
      <c r="B47" s="11" t="s">
        <v>28</v>
      </c>
      <c r="C47" s="4" t="s">
        <v>18</v>
      </c>
      <c r="D47" s="17">
        <v>1800000</v>
      </c>
      <c r="E47" s="20">
        <v>384</v>
      </c>
      <c r="F47" s="4">
        <v>16876</v>
      </c>
      <c r="G47" s="4">
        <f>4916+53</f>
        <v>4969</v>
      </c>
      <c r="H47" s="4">
        <v>0</v>
      </c>
      <c r="I47" s="4">
        <v>96</v>
      </c>
      <c r="J47" s="20">
        <v>5000</v>
      </c>
      <c r="K47" s="4">
        <f t="shared" ref="K47:K50" si="13">SUM(F47,H47,I47)-G47</f>
        <v>12003</v>
      </c>
      <c r="L47" s="20">
        <f>SUM(K47:K50)-J47</f>
        <v>13659</v>
      </c>
      <c r="M47" s="17">
        <f>D47</f>
        <v>1800000</v>
      </c>
      <c r="N47" s="23">
        <f>L47*E47</f>
        <v>5245056</v>
      </c>
      <c r="O47" s="14">
        <f>SUM(M47:N49)</f>
        <v>7045056</v>
      </c>
      <c r="P47" s="26">
        <v>0</v>
      </c>
      <c r="Q47" s="23">
        <f>O47*(1-P47)</f>
        <v>7045056</v>
      </c>
    </row>
    <row r="48" spans="1:19" hidden="1" x14ac:dyDescent="0.25">
      <c r="A48" s="11"/>
      <c r="B48" s="11"/>
      <c r="C48" s="4" t="s">
        <v>19</v>
      </c>
      <c r="D48" s="18"/>
      <c r="E48" s="21"/>
      <c r="F48" s="4">
        <v>10552</v>
      </c>
      <c r="G48" s="4">
        <f>4611+ 82</f>
        <v>4693</v>
      </c>
      <c r="H48" s="4">
        <v>0</v>
      </c>
      <c r="I48" s="4">
        <v>112</v>
      </c>
      <c r="J48" s="21"/>
      <c r="K48" s="4">
        <f t="shared" si="13"/>
        <v>5971</v>
      </c>
      <c r="L48" s="21"/>
      <c r="M48" s="18"/>
      <c r="N48" s="24"/>
      <c r="O48" s="15"/>
      <c r="P48" s="27"/>
      <c r="Q48" s="24"/>
    </row>
    <row r="49" spans="1:20" hidden="1" x14ac:dyDescent="0.25">
      <c r="A49" s="11"/>
      <c r="B49" s="11"/>
      <c r="C49" s="4" t="s">
        <v>35</v>
      </c>
      <c r="D49" s="18"/>
      <c r="E49" s="21"/>
      <c r="F49" s="4">
        <v>27</v>
      </c>
      <c r="G49" s="4">
        <v>0</v>
      </c>
      <c r="H49" s="4">
        <v>0</v>
      </c>
      <c r="I49" s="4">
        <v>0</v>
      </c>
      <c r="J49" s="21"/>
      <c r="K49" s="4">
        <f t="shared" si="13"/>
        <v>27</v>
      </c>
      <c r="L49" s="21"/>
      <c r="M49" s="18"/>
      <c r="N49" s="24"/>
      <c r="O49" s="15"/>
      <c r="P49" s="27"/>
      <c r="Q49" s="24"/>
    </row>
    <row r="50" spans="1:20" hidden="1" x14ac:dyDescent="0.25">
      <c r="A50" s="11"/>
      <c r="B50" s="11"/>
      <c r="C50" s="4" t="s">
        <v>49</v>
      </c>
      <c r="D50" s="19"/>
      <c r="E50" s="22"/>
      <c r="F50" s="4">
        <v>1280</v>
      </c>
      <c r="G50" s="4">
        <v>638</v>
      </c>
      <c r="H50" s="4">
        <v>0</v>
      </c>
      <c r="I50" s="4">
        <v>16</v>
      </c>
      <c r="J50" s="22"/>
      <c r="K50" s="4">
        <f t="shared" si="13"/>
        <v>658</v>
      </c>
      <c r="L50" s="22"/>
      <c r="M50" s="19"/>
      <c r="N50" s="25"/>
      <c r="O50" s="16"/>
      <c r="P50" s="28"/>
      <c r="Q50" s="25"/>
    </row>
    <row r="51" spans="1:20" x14ac:dyDescent="0.25">
      <c r="R51" s="1" t="s">
        <v>55</v>
      </c>
      <c r="S51" s="1" t="s">
        <v>56</v>
      </c>
      <c r="T51" s="1" t="s">
        <v>57</v>
      </c>
    </row>
    <row r="52" spans="1:20" x14ac:dyDescent="0.25">
      <c r="A52" s="11" t="s">
        <v>51</v>
      </c>
      <c r="B52" s="11" t="s">
        <v>33</v>
      </c>
      <c r="C52" s="4" t="s">
        <v>18</v>
      </c>
      <c r="D52" s="10">
        <v>2850000</v>
      </c>
      <c r="E52" s="11">
        <v>600</v>
      </c>
      <c r="F52" s="4">
        <v>14243</v>
      </c>
      <c r="G52" s="4">
        <f>5293+36</f>
        <v>5329</v>
      </c>
      <c r="H52" s="4">
        <v>0</v>
      </c>
      <c r="I52" s="4">
        <v>7</v>
      </c>
      <c r="J52" s="11">
        <v>5000</v>
      </c>
      <c r="K52" s="4">
        <f>SUM(F52,H52,I52)-G52</f>
        <v>8921</v>
      </c>
      <c r="L52" s="11">
        <f>SUM(K52:K55)-J52</f>
        <v>6243</v>
      </c>
      <c r="M52" s="10">
        <f>D52</f>
        <v>2850000</v>
      </c>
      <c r="N52" s="12">
        <f>L52*E52</f>
        <v>3745800</v>
      </c>
      <c r="O52" s="14">
        <f>M52+N52</f>
        <v>6595800</v>
      </c>
      <c r="P52" s="13">
        <v>0.2</v>
      </c>
      <c r="Q52" s="10">
        <f>O52*(1-P52)</f>
        <v>5276640</v>
      </c>
      <c r="R52" s="7">
        <f>K52/SUM($K$52:$K$55)</f>
        <v>0.79347149337365475</v>
      </c>
      <c r="S52" s="9"/>
      <c r="T52" s="1" t="s">
        <v>52</v>
      </c>
    </row>
    <row r="53" spans="1:20" x14ac:dyDescent="0.25">
      <c r="A53" s="11"/>
      <c r="B53" s="11"/>
      <c r="C53" s="4" t="s">
        <v>19</v>
      </c>
      <c r="D53" s="10"/>
      <c r="E53" s="11"/>
      <c r="F53" s="4">
        <v>5888</v>
      </c>
      <c r="G53" s="4">
        <f>4899+83</f>
        <v>4982</v>
      </c>
      <c r="H53" s="4">
        <v>0</v>
      </c>
      <c r="I53" s="4">
        <v>0</v>
      </c>
      <c r="J53" s="11"/>
      <c r="K53" s="4">
        <f t="shared" ref="K53:K55" si="14">SUM(F53,H53,I53)-G53</f>
        <v>906</v>
      </c>
      <c r="L53" s="11"/>
      <c r="M53" s="10"/>
      <c r="N53" s="12"/>
      <c r="O53" s="15"/>
      <c r="P53" s="13"/>
      <c r="Q53" s="10"/>
      <c r="R53" s="7">
        <f>K53/SUM($K$52:$K$55)</f>
        <v>8.0583474161700613E-2</v>
      </c>
      <c r="S53" s="9"/>
      <c r="T53" s="1" t="s">
        <v>53</v>
      </c>
    </row>
    <row r="54" spans="1:20" x14ac:dyDescent="0.25">
      <c r="A54" s="11"/>
      <c r="B54" s="11"/>
      <c r="C54" s="4" t="s">
        <v>35</v>
      </c>
      <c r="D54" s="10"/>
      <c r="E54" s="11"/>
      <c r="F54" s="4">
        <v>18</v>
      </c>
      <c r="G54" s="4">
        <v>0</v>
      </c>
      <c r="H54" s="4">
        <v>0</v>
      </c>
      <c r="I54" s="4">
        <v>0</v>
      </c>
      <c r="J54" s="11"/>
      <c r="K54" s="4">
        <f t="shared" si="14"/>
        <v>18</v>
      </c>
      <c r="L54" s="11"/>
      <c r="M54" s="10"/>
      <c r="N54" s="12"/>
      <c r="O54" s="15"/>
      <c r="P54" s="13"/>
      <c r="Q54" s="10"/>
      <c r="R54" s="7">
        <f>K54/SUM($K$52:$K$55)</f>
        <v>1.6009961753980255E-3</v>
      </c>
      <c r="S54" s="9"/>
      <c r="T54" s="1" t="s">
        <v>54</v>
      </c>
    </row>
    <row r="55" spans="1:20" x14ac:dyDescent="0.25">
      <c r="A55" s="11"/>
      <c r="B55" s="11"/>
      <c r="C55" s="4" t="s">
        <v>49</v>
      </c>
      <c r="D55" s="10"/>
      <c r="E55" s="11"/>
      <c r="F55" s="4">
        <v>2384</v>
      </c>
      <c r="G55" s="4">
        <f>1000+1</f>
        <v>1001</v>
      </c>
      <c r="H55" s="4">
        <v>0</v>
      </c>
      <c r="I55" s="4">
        <v>15</v>
      </c>
      <c r="J55" s="11"/>
      <c r="K55" s="4">
        <f t="shared" si="14"/>
        <v>1398</v>
      </c>
      <c r="L55" s="11"/>
      <c r="M55" s="10"/>
      <c r="N55" s="12"/>
      <c r="O55" s="16"/>
      <c r="P55" s="13"/>
      <c r="Q55" s="10"/>
      <c r="R55" s="7">
        <f>K55/SUM($K$52:$K$55)</f>
        <v>0.12434403628924665</v>
      </c>
      <c r="S55" s="9"/>
      <c r="T55" s="1" t="s">
        <v>49</v>
      </c>
    </row>
    <row r="57" spans="1:20" x14ac:dyDescent="0.25">
      <c r="O57" s="9"/>
    </row>
    <row r="58" spans="1:20" x14ac:dyDescent="0.25">
      <c r="O58" s="9"/>
    </row>
    <row r="59" spans="1:20" x14ac:dyDescent="0.25">
      <c r="Q59" s="9"/>
    </row>
    <row r="60" spans="1:20" x14ac:dyDescent="0.25">
      <c r="Q60" s="9"/>
    </row>
    <row r="61" spans="1:20" x14ac:dyDescent="0.25">
      <c r="D61" s="29"/>
      <c r="E61" s="29"/>
      <c r="O61" s="29"/>
    </row>
    <row r="62" spans="1:20" x14ac:dyDescent="0.25">
      <c r="D62" s="29"/>
      <c r="E62" s="29"/>
      <c r="F62" s="29"/>
      <c r="H62" s="29"/>
    </row>
    <row r="63" spans="1:20" x14ac:dyDescent="0.25">
      <c r="Q63" s="9"/>
    </row>
  </sheetData>
  <mergeCells count="209">
    <mergeCell ref="P47:P50"/>
    <mergeCell ref="Q47:Q50"/>
    <mergeCell ref="A47:A50"/>
    <mergeCell ref="B47:B50"/>
    <mergeCell ref="D47:D50"/>
    <mergeCell ref="E47:E50"/>
    <mergeCell ref="J47:J50"/>
    <mergeCell ref="L47:L50"/>
    <mergeCell ref="M47:M50"/>
    <mergeCell ref="N47:N50"/>
    <mergeCell ref="O47:O50"/>
    <mergeCell ref="P40:P42"/>
    <mergeCell ref="Q40:Q42"/>
    <mergeCell ref="A37:A39"/>
    <mergeCell ref="B37:B39"/>
    <mergeCell ref="D37:D39"/>
    <mergeCell ref="E37:E39"/>
    <mergeCell ref="J37:J39"/>
    <mergeCell ref="L37:L39"/>
    <mergeCell ref="M37:M39"/>
    <mergeCell ref="N37:N39"/>
    <mergeCell ref="O37:O39"/>
    <mergeCell ref="P31:P33"/>
    <mergeCell ref="Q31:Q33"/>
    <mergeCell ref="A31:A33"/>
    <mergeCell ref="B31:B33"/>
    <mergeCell ref="D31:D33"/>
    <mergeCell ref="E31:E33"/>
    <mergeCell ref="J31:J33"/>
    <mergeCell ref="L31:L33"/>
    <mergeCell ref="M31:M33"/>
    <mergeCell ref="N31:N33"/>
    <mergeCell ref="O31:O33"/>
    <mergeCell ref="P25:P27"/>
    <mergeCell ref="Q25:Q27"/>
    <mergeCell ref="A25:A27"/>
    <mergeCell ref="B25:B27"/>
    <mergeCell ref="D25:D27"/>
    <mergeCell ref="E25:E27"/>
    <mergeCell ref="J25:J27"/>
    <mergeCell ref="L25:L27"/>
    <mergeCell ref="M25:M27"/>
    <mergeCell ref="N25:N27"/>
    <mergeCell ref="O25:O27"/>
    <mergeCell ref="Q22:Q24"/>
    <mergeCell ref="L22:L24"/>
    <mergeCell ref="M22:M24"/>
    <mergeCell ref="N22:N24"/>
    <mergeCell ref="O22:O24"/>
    <mergeCell ref="P22:P24"/>
    <mergeCell ref="A22:A24"/>
    <mergeCell ref="B22:B24"/>
    <mergeCell ref="D22:D24"/>
    <mergeCell ref="E22:E24"/>
    <mergeCell ref="J22:J24"/>
    <mergeCell ref="Q12:Q13"/>
    <mergeCell ref="P12:P13"/>
    <mergeCell ref="N14:N15"/>
    <mergeCell ref="O14:O15"/>
    <mergeCell ref="P14:P15"/>
    <mergeCell ref="Q14:Q15"/>
    <mergeCell ref="L14:L15"/>
    <mergeCell ref="M14:M15"/>
    <mergeCell ref="L16:L18"/>
    <mergeCell ref="M16:M18"/>
    <mergeCell ref="N16:N18"/>
    <mergeCell ref="Q2:Q3"/>
    <mergeCell ref="Q4:Q5"/>
    <mergeCell ref="Q6:Q7"/>
    <mergeCell ref="Q8:Q9"/>
    <mergeCell ref="Q10:Q11"/>
    <mergeCell ref="P2:P3"/>
    <mergeCell ref="P4:P5"/>
    <mergeCell ref="P6:P7"/>
    <mergeCell ref="P8:P9"/>
    <mergeCell ref="P10:P11"/>
    <mergeCell ref="B12:B13"/>
    <mergeCell ref="D12:D13"/>
    <mergeCell ref="E12:E13"/>
    <mergeCell ref="J12:J13"/>
    <mergeCell ref="L8:L9"/>
    <mergeCell ref="M8:M9"/>
    <mergeCell ref="N8:N9"/>
    <mergeCell ref="O8:O9"/>
    <mergeCell ref="A8:A9"/>
    <mergeCell ref="B8:B9"/>
    <mergeCell ref="D8:D9"/>
    <mergeCell ref="E8:E9"/>
    <mergeCell ref="J8:J9"/>
    <mergeCell ref="O10:O11"/>
    <mergeCell ref="L12:L13"/>
    <mergeCell ref="M12:M13"/>
    <mergeCell ref="N12:N13"/>
    <mergeCell ref="O12:O13"/>
    <mergeCell ref="A12:A13"/>
    <mergeCell ref="O6:O7"/>
    <mergeCell ref="D2:D3"/>
    <mergeCell ref="E2:E3"/>
    <mergeCell ref="J2:J3"/>
    <mergeCell ref="L2:L3"/>
    <mergeCell ref="L4:L5"/>
    <mergeCell ref="L6:L7"/>
    <mergeCell ref="J4:J5"/>
    <mergeCell ref="M2:M3"/>
    <mergeCell ref="N2:N3"/>
    <mergeCell ref="O2:O3"/>
    <mergeCell ref="M4:M5"/>
    <mergeCell ref="N4:N5"/>
    <mergeCell ref="O4:O5"/>
    <mergeCell ref="A2:A3"/>
    <mergeCell ref="A4:A5"/>
    <mergeCell ref="A6:A7"/>
    <mergeCell ref="B2:B3"/>
    <mergeCell ref="B4:B5"/>
    <mergeCell ref="B6:B7"/>
    <mergeCell ref="L10:L11"/>
    <mergeCell ref="M10:M11"/>
    <mergeCell ref="N10:N11"/>
    <mergeCell ref="A10:A11"/>
    <mergeCell ref="B10:B11"/>
    <mergeCell ref="D10:D11"/>
    <mergeCell ref="E10:E11"/>
    <mergeCell ref="J10:J11"/>
    <mergeCell ref="J6:J7"/>
    <mergeCell ref="D4:D5"/>
    <mergeCell ref="E4:E5"/>
    <mergeCell ref="D6:D7"/>
    <mergeCell ref="E6:E7"/>
    <mergeCell ref="M6:M7"/>
    <mergeCell ref="N6:N7"/>
    <mergeCell ref="Q19:Q21"/>
    <mergeCell ref="L19:L21"/>
    <mergeCell ref="M19:M21"/>
    <mergeCell ref="N19:N21"/>
    <mergeCell ref="O19:O21"/>
    <mergeCell ref="P19:P21"/>
    <mergeCell ref="A14:A15"/>
    <mergeCell ref="B14:B15"/>
    <mergeCell ref="D14:D15"/>
    <mergeCell ref="E14:E15"/>
    <mergeCell ref="J14:J15"/>
    <mergeCell ref="A19:A21"/>
    <mergeCell ref="B19:B21"/>
    <mergeCell ref="D19:D21"/>
    <mergeCell ref="E19:E21"/>
    <mergeCell ref="J19:J21"/>
    <mergeCell ref="O16:O18"/>
    <mergeCell ref="P16:P18"/>
    <mergeCell ref="A16:A18"/>
    <mergeCell ref="B16:B18"/>
    <mergeCell ref="D16:D18"/>
    <mergeCell ref="E16:E18"/>
    <mergeCell ref="J16:J18"/>
    <mergeCell ref="Q16:Q18"/>
    <mergeCell ref="P28:P30"/>
    <mergeCell ref="Q28:Q30"/>
    <mergeCell ref="A28:A30"/>
    <mergeCell ref="B28:B30"/>
    <mergeCell ref="D28:D30"/>
    <mergeCell ref="E28:E30"/>
    <mergeCell ref="J28:J30"/>
    <mergeCell ref="L28:L30"/>
    <mergeCell ref="M28:M30"/>
    <mergeCell ref="N28:N30"/>
    <mergeCell ref="O28:O30"/>
    <mergeCell ref="P43:P46"/>
    <mergeCell ref="Q43:Q46"/>
    <mergeCell ref="P34:P36"/>
    <mergeCell ref="Q34:Q36"/>
    <mergeCell ref="A34:A36"/>
    <mergeCell ref="B34:B36"/>
    <mergeCell ref="D34:D36"/>
    <mergeCell ref="E34:E36"/>
    <mergeCell ref="J34:J36"/>
    <mergeCell ref="L34:L36"/>
    <mergeCell ref="M34:M36"/>
    <mergeCell ref="N34:N36"/>
    <mergeCell ref="O34:O36"/>
    <mergeCell ref="P37:P39"/>
    <mergeCell ref="Q37:Q39"/>
    <mergeCell ref="A40:A42"/>
    <mergeCell ref="B40:B42"/>
    <mergeCell ref="D40:D42"/>
    <mergeCell ref="E40:E42"/>
    <mergeCell ref="J40:J42"/>
    <mergeCell ref="L40:L42"/>
    <mergeCell ref="M40:M42"/>
    <mergeCell ref="N40:N42"/>
    <mergeCell ref="O40:O42"/>
    <mergeCell ref="B43:B46"/>
    <mergeCell ref="A43:A46"/>
    <mergeCell ref="D43:D46"/>
    <mergeCell ref="E43:E46"/>
    <mergeCell ref="J43:J46"/>
    <mergeCell ref="L43:L46"/>
    <mergeCell ref="M43:M46"/>
    <mergeCell ref="N43:N46"/>
    <mergeCell ref="O43:O46"/>
    <mergeCell ref="Q52:Q55"/>
    <mergeCell ref="A52:A55"/>
    <mergeCell ref="B52:B55"/>
    <mergeCell ref="D52:D55"/>
    <mergeCell ref="E52:E55"/>
    <mergeCell ref="J52:J55"/>
    <mergeCell ref="L52:L55"/>
    <mergeCell ref="M52:M55"/>
    <mergeCell ref="N52:N55"/>
    <mergeCell ref="P52:P55"/>
    <mergeCell ref="O52:O55"/>
  </mergeCells>
  <conditionalFormatting sqref="Q1:Q36 Q51:Q52 Q56:Q150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{CB4EF201-5E4B-43BF-966F-25A8473B8AB3}</x14:id>
        </ext>
      </extLst>
    </cfRule>
  </conditionalFormatting>
  <conditionalFormatting sqref="Q14:Q15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{E9ECE5AB-165E-440F-A9A7-FAC7808B7DCB}</x14:id>
        </ext>
      </extLst>
    </cfRule>
  </conditionalFormatting>
  <conditionalFormatting sqref="Q16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{7C85F453-A812-437E-B47E-622CABD3EE56}</x14:id>
        </ext>
      </extLst>
    </cfRule>
  </conditionalFormatting>
  <conditionalFormatting sqref="Q1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{14A9894A-1E83-4F5D-9997-31F541751297}</x14:id>
        </ext>
      </extLst>
    </cfRule>
  </conditionalFormatting>
  <conditionalFormatting sqref="Q22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{954FB801-078B-4E88-ADA8-D07696D4D43A}</x14:id>
        </ext>
      </extLst>
    </cfRule>
  </conditionalFormatting>
  <conditionalFormatting sqref="Q2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{72346ED6-680A-44C5-B459-F6543576544C}</x14:id>
        </ext>
      </extLst>
    </cfRule>
  </conditionalFormatting>
  <conditionalFormatting sqref="Q28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{D0E958C6-995B-46BD-A1F9-F6DF50D821C2}</x14:id>
        </ext>
      </extLst>
    </cfRule>
  </conditionalFormatting>
  <conditionalFormatting sqref="Q3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{957B8C1E-B383-4BBE-A0B5-D378846B1899}</x14:id>
        </ext>
      </extLst>
    </cfRule>
  </conditionalFormatting>
  <conditionalFormatting sqref="Q34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{065E4A87-2075-4522-A2F6-522F7C9CBA67}</x14:id>
        </ext>
      </extLst>
    </cfRule>
  </conditionalFormatting>
  <conditionalFormatting sqref="Q37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{E05CAD53-C11A-4179-A851-FD4572E77166}</x14:id>
        </ext>
      </extLst>
    </cfRule>
  </conditionalFormatting>
  <conditionalFormatting sqref="Q37:Q3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{2F3BA091-E47F-4E1B-A2FD-E250C0EEE805}</x14:id>
        </ext>
      </extLst>
    </cfRule>
  </conditionalFormatting>
  <conditionalFormatting sqref="Q4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{CA12D67C-6DB9-4283-9379-3BEB82A4DE1C}</x14:id>
        </ext>
      </extLst>
    </cfRule>
  </conditionalFormatting>
  <conditionalFormatting sqref="Q40:Q4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{6FC7CB15-75FB-4869-B657-29D87EE8FE10}</x14:id>
        </ext>
      </extLst>
    </cfRule>
  </conditionalFormatting>
  <conditionalFormatting sqref="Q4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{150BB44C-88C0-4DB2-9470-1226C3F33E53}</x14:id>
        </ext>
      </extLst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{271A9E83-9FCB-4086-9CC6-4567D86E92AA}</x14:id>
        </ext>
      </extLst>
    </cfRule>
  </conditionalFormatting>
  <conditionalFormatting sqref="Q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{DCF0EDC4-EE50-400B-A43F-BBA5D42D0311}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{C9357E13-E79A-4390-B7EF-D915F85886C5}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4EF201-5E4B-43BF-966F-25A8473B8A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Q1:Q36 Q51:Q52 Q56:Q150</xm:sqref>
        </x14:conditionalFormatting>
        <x14:conditionalFormatting xmlns:xm="http://schemas.microsoft.com/office/excel/2006/main">
          <x14:cfRule type="dataBar" id="{E9ECE5AB-165E-440F-A9A7-FAC7808B7D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Q14:Q15</xm:sqref>
        </x14:conditionalFormatting>
        <x14:conditionalFormatting xmlns:xm="http://schemas.microsoft.com/office/excel/2006/main">
          <x14:cfRule type="dataBar" id="{7C85F453-A812-437E-B47E-622CABD3EE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4A9894A-1E83-4F5D-9997-31F5417512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54FB801-078B-4E88-ADA8-D07696D4D4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72346ED6-680A-44C5-B459-F654357654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0E958C6-995B-46BD-A1F9-F6DF50D821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957B8C1E-B383-4BBE-A0B5-D378846B18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065E4A87-2075-4522-A2F6-522F7C9CBA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E05CAD53-C11A-4179-A851-FD4572E77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Q37</xm:sqref>
        </x14:conditionalFormatting>
        <x14:conditionalFormatting xmlns:xm="http://schemas.microsoft.com/office/excel/2006/main">
          <x14:cfRule type="dataBar" id="{2F3BA091-E47F-4E1B-A2FD-E250C0EEE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Q37:Q39</xm:sqref>
        </x14:conditionalFormatting>
        <x14:conditionalFormatting xmlns:xm="http://schemas.microsoft.com/office/excel/2006/main">
          <x14:cfRule type="dataBar" id="{CA12D67C-6DB9-4283-9379-3BEB82A4D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Q40</xm:sqref>
        </x14:conditionalFormatting>
        <x14:conditionalFormatting xmlns:xm="http://schemas.microsoft.com/office/excel/2006/main">
          <x14:cfRule type="dataBar" id="{6FC7CB15-75FB-4869-B657-29D87EE8FE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Q40:Q42</xm:sqref>
        </x14:conditionalFormatting>
        <x14:conditionalFormatting xmlns:xm="http://schemas.microsoft.com/office/excel/2006/main">
          <x14:cfRule type="dataBar" id="{150BB44C-88C0-4DB2-9470-1226C3F33E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71A9E83-9FCB-4086-9CC6-4567D86E92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Q43</xm:sqref>
        </x14:conditionalFormatting>
        <x14:conditionalFormatting xmlns:xm="http://schemas.microsoft.com/office/excel/2006/main">
          <x14:cfRule type="dataBar" id="{DCF0EDC4-EE50-400B-A43F-BBA5D42D03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9357E13-E79A-4390-B7EF-D915F85886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khedmatazma</cp:lastModifiedBy>
  <dcterms:created xsi:type="dcterms:W3CDTF">2022-07-12T11:04:17Z</dcterms:created>
  <dcterms:modified xsi:type="dcterms:W3CDTF">2024-12-15T13:34:06Z</dcterms:modified>
</cp:coreProperties>
</file>