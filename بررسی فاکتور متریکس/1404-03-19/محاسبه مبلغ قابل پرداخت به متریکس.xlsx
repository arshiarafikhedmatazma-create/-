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hedmatazma_tasks\saghaee\check_metrix_factor\1404-03-19\"/>
    </mc:Choice>
  </mc:AlternateContent>
  <xr:revisionPtr revIDLastSave="0" documentId="13_ncr:1_{7739FA00-8C39-42FE-A7EF-4271506D6878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definedNames>
    <definedName name="_xlnm._FilterDatabase" localSheetId="0" hidden="1">Sheet1!$S$62:$T$66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5" i="1" l="1"/>
  <c r="S83" i="1"/>
  <c r="T84" i="1"/>
  <c r="T85" i="1"/>
  <c r="T86" i="1"/>
  <c r="T83" i="1"/>
  <c r="S86" i="1"/>
  <c r="S84" i="1"/>
  <c r="Q83" i="1"/>
  <c r="O83" i="1"/>
  <c r="N83" i="1"/>
  <c r="M83" i="1"/>
  <c r="L83" i="1"/>
  <c r="K86" i="1"/>
  <c r="K85" i="1"/>
  <c r="K84" i="1"/>
  <c r="K83" i="1"/>
  <c r="G86" i="1"/>
  <c r="G84" i="1"/>
  <c r="G83" i="1"/>
  <c r="E83" i="1"/>
  <c r="D83" i="1"/>
  <c r="G81" i="1"/>
  <c r="K81" i="1" s="1"/>
  <c r="S81" i="1" s="1"/>
  <c r="T81" i="1" s="1"/>
  <c r="G79" i="1"/>
  <c r="G78" i="1"/>
  <c r="K78" i="1" s="1"/>
  <c r="S78" i="1" s="1"/>
  <c r="K80" i="1"/>
  <c r="S80" i="1" s="1"/>
  <c r="K79" i="1"/>
  <c r="S79" i="1" s="1"/>
  <c r="M78" i="1"/>
  <c r="G76" i="1"/>
  <c r="G74" i="1"/>
  <c r="K74" i="1" s="1"/>
  <c r="L73" i="1" s="1"/>
  <c r="N73" i="1" s="1"/>
  <c r="O73" i="1" s="1"/>
  <c r="G73" i="1"/>
  <c r="K76" i="1"/>
  <c r="K75" i="1"/>
  <c r="M73" i="1"/>
  <c r="K73" i="1"/>
  <c r="G71" i="1"/>
  <c r="K71" i="1" s="1"/>
  <c r="G69" i="1"/>
  <c r="G68" i="1"/>
  <c r="K68" i="1"/>
  <c r="K70" i="1"/>
  <c r="K69" i="1"/>
  <c r="M68" i="1"/>
  <c r="G66" i="1"/>
  <c r="K66" i="1" s="1"/>
  <c r="G64" i="1"/>
  <c r="G63" i="1"/>
  <c r="K63" i="1" s="1"/>
  <c r="M63" i="1"/>
  <c r="K65" i="1"/>
  <c r="K64" i="1"/>
  <c r="G58" i="1"/>
  <c r="K58" i="1" s="1"/>
  <c r="G59" i="1"/>
  <c r="G61" i="1"/>
  <c r="K59" i="1"/>
  <c r="M58" i="1"/>
  <c r="K61" i="1"/>
  <c r="K60" i="1"/>
  <c r="M52" i="1"/>
  <c r="K54" i="1"/>
  <c r="G55" i="1"/>
  <c r="K55" i="1" s="1"/>
  <c r="G53" i="1"/>
  <c r="K53" i="1" s="1"/>
  <c r="G52" i="1"/>
  <c r="K52" i="1" s="1"/>
  <c r="G47" i="1"/>
  <c r="K47" i="1" s="1"/>
  <c r="G48" i="1"/>
  <c r="K48" i="1" s="1"/>
  <c r="K50" i="1"/>
  <c r="K49" i="1"/>
  <c r="M47" i="1"/>
  <c r="T79" i="1" l="1"/>
  <c r="T80" i="1"/>
  <c r="T78" i="1"/>
  <c r="L78" i="1"/>
  <c r="N78" i="1" s="1"/>
  <c r="O78" i="1" s="1"/>
  <c r="Q78" i="1" s="1"/>
  <c r="Q73" i="1"/>
  <c r="T66" i="1"/>
  <c r="L63" i="1"/>
  <c r="N63" i="1" s="1"/>
  <c r="O63" i="1" s="1"/>
  <c r="Q63" i="1" s="1"/>
  <c r="T69" i="1"/>
  <c r="T70" i="1"/>
  <c r="T65" i="1"/>
  <c r="T71" i="1"/>
  <c r="T68" i="1"/>
  <c r="L68" i="1"/>
  <c r="N68" i="1" s="1"/>
  <c r="O68" i="1" s="1"/>
  <c r="Q68" i="1" s="1"/>
  <c r="T64" i="1"/>
  <c r="T63" i="1"/>
  <c r="R52" i="1"/>
  <c r="R53" i="1"/>
  <c r="R55" i="1"/>
  <c r="L58" i="1"/>
  <c r="N58" i="1" s="1"/>
  <c r="O58" i="1" s="1"/>
  <c r="R54" i="1"/>
  <c r="L52" i="1"/>
  <c r="N52" i="1" s="1"/>
  <c r="O52" i="1" s="1"/>
  <c r="L47" i="1"/>
  <c r="N47" i="1" s="1"/>
  <c r="O47" i="1" s="1"/>
  <c r="Q47" i="1" s="1"/>
  <c r="S64" i="1" l="1"/>
  <c r="S70" i="1"/>
  <c r="S65" i="1"/>
  <c r="S68" i="1"/>
  <c r="S69" i="1"/>
  <c r="S63" i="1"/>
  <c r="S71" i="1"/>
  <c r="S66" i="1"/>
  <c r="Q58" i="1"/>
  <c r="Q52" i="1"/>
  <c r="K46" i="1"/>
  <c r="G44" i="1"/>
  <c r="K44" i="1" s="1"/>
  <c r="G43" i="1"/>
  <c r="K43" i="1" s="1"/>
  <c r="K45" i="1"/>
  <c r="M43" i="1"/>
  <c r="L43" i="1" l="1"/>
  <c r="N43" i="1" s="1"/>
  <c r="O43" i="1" s="1"/>
  <c r="Q43" i="1" s="1"/>
  <c r="G40" i="1"/>
  <c r="K40" i="1" s="1"/>
  <c r="G41" i="1"/>
  <c r="K41" i="1" s="1"/>
  <c r="K42" i="1"/>
  <c r="M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29" i="1" s="1"/>
  <c r="K30" i="1"/>
  <c r="M28" i="1"/>
  <c r="K28" i="1"/>
  <c r="L28" i="1" l="1"/>
  <c r="N28" i="1" s="1"/>
  <c r="O28" i="1" s="1"/>
  <c r="Q28" i="1" s="1"/>
  <c r="G26" i="1"/>
  <c r="K26" i="1" s="1"/>
  <c r="G25" i="1"/>
  <c r="K25" i="1" s="1"/>
  <c r="K27" i="1"/>
  <c r="M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K19" i="1" s="1"/>
  <c r="G20" i="1"/>
  <c r="K20" i="1" s="1"/>
  <c r="K21" i="1"/>
  <c r="M19" i="1"/>
  <c r="L19" i="1" l="1"/>
  <c r="N19" i="1" s="1"/>
  <c r="O19" i="1" s="1"/>
  <c r="Q19" i="1" s="1"/>
  <c r="K18" i="1"/>
  <c r="G17" i="1"/>
  <c r="K17" i="1" s="1"/>
  <c r="G16" i="1"/>
  <c r="K16" i="1" s="1"/>
  <c r="M16" i="1"/>
  <c r="L16" i="1" l="1"/>
  <c r="N16" i="1" s="1"/>
  <c r="G14" i="1"/>
  <c r="G15" i="1"/>
  <c r="K15" i="1" s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G8" i="1"/>
  <c r="K8" i="1" s="1"/>
  <c r="G9" i="1"/>
  <c r="K9" i="1" s="1"/>
  <c r="L8" i="1" l="1"/>
  <c r="N8" i="1" s="1"/>
  <c r="O8" i="1" s="1"/>
  <c r="Q8" i="1" s="1"/>
  <c r="G6" i="1"/>
  <c r="M6" i="1"/>
  <c r="G7" i="1"/>
  <c r="K7" i="1" s="1"/>
  <c r="M4" i="1"/>
  <c r="K6" i="1"/>
  <c r="G5" i="1"/>
  <c r="K5" i="1" s="1"/>
  <c r="G4" i="1"/>
  <c r="K4" i="1" s="1"/>
  <c r="M2" i="1"/>
  <c r="G3" i="1"/>
  <c r="K3" i="1" s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<sst xmlns="http://schemas.openxmlformats.org/spreadsheetml/2006/main" count="170" uniqueCount="65">
  <si>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</si>
  <si>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</si>
  <si>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</si>
  <si>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</si>
  <si>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</si>
  <si>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</si>
  <si>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</si>
  <si>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</si>
  <si>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</si>
  <si>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</si>
  <si>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</si>
  <si>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</si>
  <si>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</si>
  <si>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</si>
  <si>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</si>
  <si>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</si>
  <si>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</si>
  <si>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</si>
  <si>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</si>
  <si>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</si>
  <si>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</si>
  <si>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</si>
  <si>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</si>
  <si>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</si>
  <si>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</si>
  <si>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</si>
  <si>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</si>
  <si>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</si>
  <si>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</si>
  <si>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</si>
  <si>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</si>
  <si>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</si>
  <si>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</si>
  <si>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</si>
  <si>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</si>
  <si>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</si>
  <si>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</si>
  <si>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</si>
  <si>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</si>
  <si>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</si>
  <si>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</si>
  <si>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</si>
  <si>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</si>
  <si>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</si>
  <si>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</si>
  <si>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</si>
  <si>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</si>
  <si>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</si>
  <si>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</si>
  <si>
    <t>1403-08-15 | 1403-09-14</t>
  </si>
  <si>
    <t xml:space="preserve">خدمت از ما مشتری </t>
  </si>
  <si>
    <t xml:space="preserve">خدمت از ما پروایدر </t>
  </si>
  <si>
    <t>خدمت از ما ios</t>
  </si>
  <si>
    <t>%</t>
  </si>
  <si>
    <t>هزینه - تومن</t>
  </si>
  <si>
    <t>اپ</t>
  </si>
  <si>
    <t>1403-09-15 | 1403-10-14</t>
  </si>
  <si>
    <t>1403-10-16 | 1403-11-16</t>
  </si>
  <si>
    <t>مبلغ قابل پرداخت(کل) - ریال - پس از تخفیف</t>
  </si>
  <si>
    <t>هزینه - ریال</t>
  </si>
  <si>
    <t>1403-11-17 | 1403-12-14</t>
  </si>
  <si>
    <t>مالیات</t>
  </si>
  <si>
    <t>1403-12-15 | 1404-01-15</t>
  </si>
  <si>
    <t>1404-01-16 | 1404-02-14</t>
  </si>
  <si>
    <t>1404-02-15 | 1404-03-14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</si>
</sst>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"/>
  <sheetViews>
    <sheetView tabSelected="1" zoomScale="90" zoomScaleNormal="90" workbookViewId="0">
      <pane ySplit="55" topLeftCell="A78" activePane="bottomLeft" state="frozen"/>
      <selection pane="bottomLeft" activeCell="E91" sqref="E91"/>
    </sheetView>
  </sheetViews>
  <sheetFormatPr defaultColWidth="9.1328125" defaultRowHeight="14.25" x14ac:dyDescent="0.45"/>
  <cols>
    <col min="1" max="1" width="23.86328125" style="1" bestFit="1" customWidth="1"/>
    <col min="2" max="3" width="9.1328125" style="1"/>
    <col min="4" max="4" width="13.3984375" style="1" bestFit="1" customWidth="1"/>
    <col min="5" max="5" width="22.265625" style="8" bestFit="1" customWidth="1"/>
    <col min="6" max="6" width="12.73046875" style="1" bestFit="1" customWidth="1"/>
    <col min="7" max="7" width="15.1328125" style="1" bestFit="1" customWidth="1"/>
    <col min="8" max="8" width="15.59765625" style="1" customWidth="1"/>
    <col min="9" max="10" width="11" style="1" customWidth="1"/>
    <col min="11" max="12" width="9.1328125" style="1"/>
    <col min="13" max="13" width="14.59765625" style="1" customWidth="1"/>
    <col min="14" max="14" width="14" style="1" customWidth="1"/>
    <col min="15" max="15" width="12.73046875" style="1" bestFit="1" customWidth="1"/>
    <col min="16" max="16" width="12.73046875" style="1" customWidth="1"/>
    <col min="17" max="17" width="24.3984375" style="1" customWidth="1"/>
    <col min="18" max="18" width="15.3984375" style="1" bestFit="1" customWidth="1"/>
    <col min="19" max="19" width="14.73046875" style="1" customWidth="1"/>
    <col min="20" max="20" width="14.73046875" style="1" bestFit="1" customWidth="1"/>
    <col min="21" max="16384" width="9.1328125" style="1"/>
  </cols>
  <sheetData>
    <row r="1" spans="1:17" s="2" customFormat="1" ht="66" customHeight="1" x14ac:dyDescent="0.45">
      <c r="A1" s="3" t="s">
        <v>4</v>
      </c>
      <c r="B1" s="3" t="s">
        <v>3</v>
      </c>
      <c r="C1" s="3" t="s">
        <v>17</v>
      </c>
      <c r="D1" s="3" t="s">
        <v>8</v>
      </c>
      <c r="E1" s="20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61</v>
      </c>
      <c r="Q1" s="3" t="s">
        <v>58</v>
      </c>
    </row>
    <row r="2" spans="1:17" hidden="1" x14ac:dyDescent="0.45">
      <c r="A2" s="23" t="s">
        <v>0</v>
      </c>
      <c r="B2" s="23" t="s">
        <v>5</v>
      </c>
      <c r="C2" s="4" t="s">
        <v>18</v>
      </c>
      <c r="D2" s="35">
        <v>800000</v>
      </c>
      <c r="E2" s="35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38">
        <v>5000</v>
      </c>
      <c r="K2" s="4">
        <f>SUM(F2,H2,I2)-G2</f>
        <v>15757</v>
      </c>
      <c r="L2" s="38">
        <f>SUM(K2:K3)-J2</f>
        <v>12971</v>
      </c>
      <c r="M2" s="24">
        <f>D2</f>
        <v>800000</v>
      </c>
      <c r="N2" s="24">
        <f>L2*E2</f>
        <v>2334780</v>
      </c>
      <c r="O2" s="24">
        <f>SUM(M2:N3)</f>
        <v>3134780</v>
      </c>
      <c r="P2" s="29">
        <v>0</v>
      </c>
      <c r="Q2" s="32">
        <f>O2*(1-P2)</f>
        <v>3134780</v>
      </c>
    </row>
    <row r="3" spans="1:17" hidden="1" x14ac:dyDescent="0.45">
      <c r="A3" s="23"/>
      <c r="B3" s="23"/>
      <c r="C3" s="4" t="s">
        <v>19</v>
      </c>
      <c r="D3" s="37"/>
      <c r="E3" s="37"/>
      <c r="F3" s="4">
        <v>6030</v>
      </c>
      <c r="G3" s="4">
        <f>3600+254</f>
        <v>3854</v>
      </c>
      <c r="H3" s="4">
        <v>0</v>
      </c>
      <c r="I3" s="4">
        <v>38</v>
      </c>
      <c r="J3" s="40"/>
      <c r="K3" s="4">
        <f>SUM(F3,H3,I3)-G3</f>
        <v>2214</v>
      </c>
      <c r="L3" s="40"/>
      <c r="M3" s="23"/>
      <c r="N3" s="23"/>
      <c r="O3" s="23"/>
      <c r="P3" s="31"/>
      <c r="Q3" s="34"/>
    </row>
    <row r="4" spans="1:17" hidden="1" x14ac:dyDescent="0.45">
      <c r="A4" s="23" t="s">
        <v>1</v>
      </c>
      <c r="B4" s="23" t="s">
        <v>6</v>
      </c>
      <c r="C4" s="4" t="s">
        <v>18</v>
      </c>
      <c r="D4" s="35">
        <v>1100000</v>
      </c>
      <c r="E4" s="35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38">
        <v>5000</v>
      </c>
      <c r="K4" s="4">
        <f t="shared" ref="K4:K9" si="0">SUM(F4,H4,I4)-G4</f>
        <v>15337</v>
      </c>
      <c r="L4" s="38">
        <f>SUM(K4:K5)-J4</f>
        <v>12264</v>
      </c>
      <c r="M4" s="35">
        <f>D4</f>
        <v>1100000</v>
      </c>
      <c r="N4" s="32">
        <f>L4*E4</f>
        <v>3188640</v>
      </c>
      <c r="O4" s="24">
        <f>SUM(M4:N5)</f>
        <v>4288640</v>
      </c>
      <c r="P4" s="29">
        <v>0</v>
      </c>
      <c r="Q4" s="32">
        <f>O4*(1-P4)</f>
        <v>4288640</v>
      </c>
    </row>
    <row r="5" spans="1:17" hidden="1" x14ac:dyDescent="0.45">
      <c r="A5" s="23"/>
      <c r="B5" s="23"/>
      <c r="C5" s="4" t="s">
        <v>19</v>
      </c>
      <c r="D5" s="37">
        <v>1100000</v>
      </c>
      <c r="E5" s="37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40"/>
      <c r="K5" s="4">
        <f t="shared" si="0"/>
        <v>1927</v>
      </c>
      <c r="L5" s="40"/>
      <c r="M5" s="37"/>
      <c r="N5" s="34"/>
      <c r="O5" s="23"/>
      <c r="P5" s="31"/>
      <c r="Q5" s="34"/>
    </row>
    <row r="6" spans="1:17" hidden="1" x14ac:dyDescent="0.45">
      <c r="A6" s="23" t="s">
        <v>2</v>
      </c>
      <c r="B6" s="23" t="s">
        <v>7</v>
      </c>
      <c r="C6" s="4" t="s">
        <v>18</v>
      </c>
      <c r="D6" s="35">
        <v>1100000</v>
      </c>
      <c r="E6" s="35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38">
        <v>5000</v>
      </c>
      <c r="K6" s="4">
        <f t="shared" si="0"/>
        <v>19257</v>
      </c>
      <c r="L6" s="38">
        <f>SUM(K6:K7)-J6</f>
        <v>17007</v>
      </c>
      <c r="M6" s="35">
        <f>D6</f>
        <v>1100000</v>
      </c>
      <c r="N6" s="32">
        <f>L6*E6</f>
        <v>4421820</v>
      </c>
      <c r="O6" s="24">
        <f>SUM(M6:N7)</f>
        <v>5521820</v>
      </c>
      <c r="P6" s="29">
        <v>0</v>
      </c>
      <c r="Q6" s="32">
        <f>O6*(1-P6)</f>
        <v>5521820</v>
      </c>
    </row>
    <row r="7" spans="1:17" hidden="1" x14ac:dyDescent="0.45">
      <c r="A7" s="23"/>
      <c r="B7" s="23"/>
      <c r="C7" s="4" t="s">
        <v>19</v>
      </c>
      <c r="D7" s="37">
        <v>1100000</v>
      </c>
      <c r="E7" s="37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40"/>
      <c r="K7" s="4">
        <f t="shared" si="0"/>
        <v>2750</v>
      </c>
      <c r="L7" s="40"/>
      <c r="M7" s="37"/>
      <c r="N7" s="34"/>
      <c r="O7" s="23"/>
      <c r="P7" s="31"/>
      <c r="Q7" s="34"/>
    </row>
    <row r="8" spans="1:17" hidden="1" x14ac:dyDescent="0.45">
      <c r="A8" s="23" t="s">
        <v>22</v>
      </c>
      <c r="B8" s="23" t="s">
        <v>23</v>
      </c>
      <c r="C8" s="4" t="s">
        <v>18</v>
      </c>
      <c r="D8" s="35">
        <v>1100000</v>
      </c>
      <c r="E8" s="35">
        <v>260</v>
      </c>
      <c r="F8" s="4">
        <v>23294</v>
      </c>
      <c r="G8" s="4">
        <f>3598+135</f>
        <v>3733</v>
      </c>
      <c r="H8" s="4">
        <v>0</v>
      </c>
      <c r="I8" s="4">
        <v>80</v>
      </c>
      <c r="J8" s="38">
        <v>5000</v>
      </c>
      <c r="K8" s="4">
        <f t="shared" si="0"/>
        <v>19641</v>
      </c>
      <c r="L8" s="38">
        <f>SUM(K8:K9)-J8</f>
        <v>17597</v>
      </c>
      <c r="M8" s="35">
        <f>D8</f>
        <v>1100000</v>
      </c>
      <c r="N8" s="32">
        <f>L8*E8</f>
        <v>4575220</v>
      </c>
      <c r="O8" s="24">
        <f>SUM(M8:N9)</f>
        <v>5675220</v>
      </c>
      <c r="P8" s="29">
        <v>0</v>
      </c>
      <c r="Q8" s="32">
        <f>O8*(1-P8)</f>
        <v>5675220</v>
      </c>
    </row>
    <row r="9" spans="1:17" hidden="1" x14ac:dyDescent="0.45">
      <c r="A9" s="23"/>
      <c r="B9" s="23"/>
      <c r="C9" s="4" t="s">
        <v>19</v>
      </c>
      <c r="D9" s="37">
        <v>1100000</v>
      </c>
      <c r="E9" s="37">
        <v>260</v>
      </c>
      <c r="F9" s="4">
        <v>6287</v>
      </c>
      <c r="G9" s="4">
        <f>3126+231</f>
        <v>3357</v>
      </c>
      <c r="H9" s="4">
        <v>0</v>
      </c>
      <c r="I9" s="4">
        <v>26</v>
      </c>
      <c r="J9" s="40"/>
      <c r="K9" s="4">
        <f t="shared" si="0"/>
        <v>2956</v>
      </c>
      <c r="L9" s="40"/>
      <c r="M9" s="37"/>
      <c r="N9" s="34"/>
      <c r="O9" s="23"/>
      <c r="P9" s="31"/>
      <c r="Q9" s="34"/>
    </row>
    <row r="10" spans="1:17" hidden="1" x14ac:dyDescent="0.45">
      <c r="A10" s="23" t="s">
        <v>26</v>
      </c>
      <c r="B10" s="23" t="s">
        <v>24</v>
      </c>
      <c r="C10" s="4" t="s">
        <v>18</v>
      </c>
      <c r="D10" s="35">
        <v>1100000</v>
      </c>
      <c r="E10" s="35">
        <v>260</v>
      </c>
      <c r="F10" s="4">
        <v>25216</v>
      </c>
      <c r="G10" s="4">
        <f>4005+153</f>
        <v>4158</v>
      </c>
      <c r="H10" s="4">
        <v>0</v>
      </c>
      <c r="I10" s="4">
        <v>130</v>
      </c>
      <c r="J10" s="38">
        <v>5000</v>
      </c>
      <c r="K10" s="4">
        <f t="shared" ref="K10:K11" si="1">SUM(F10,H10,I10)-G10</f>
        <v>21188</v>
      </c>
      <c r="L10" s="38">
        <f>SUM(K10:K11)-J10</f>
        <v>20539</v>
      </c>
      <c r="M10" s="35">
        <f>D10</f>
        <v>1100000</v>
      </c>
      <c r="N10" s="32">
        <f>L10*E10</f>
        <v>5340140</v>
      </c>
      <c r="O10" s="24">
        <f>SUM(M10:N11)</f>
        <v>6440140</v>
      </c>
      <c r="P10" s="29">
        <v>0</v>
      </c>
      <c r="Q10" s="32">
        <f>O10*(1-P10)</f>
        <v>6440140</v>
      </c>
    </row>
    <row r="11" spans="1:17" hidden="1" x14ac:dyDescent="0.45">
      <c r="A11" s="23"/>
      <c r="B11" s="23"/>
      <c r="C11" s="4" t="s">
        <v>19</v>
      </c>
      <c r="D11" s="37">
        <v>1100000</v>
      </c>
      <c r="E11" s="37">
        <v>260</v>
      </c>
      <c r="F11" s="4">
        <v>8262</v>
      </c>
      <c r="G11" s="4">
        <f>3712+257</f>
        <v>3969</v>
      </c>
      <c r="H11" s="4">
        <v>0</v>
      </c>
      <c r="I11" s="4">
        <v>58</v>
      </c>
      <c r="J11" s="40"/>
      <c r="K11" s="4">
        <f t="shared" si="1"/>
        <v>4351</v>
      </c>
      <c r="L11" s="40"/>
      <c r="M11" s="37"/>
      <c r="N11" s="34"/>
      <c r="O11" s="23"/>
      <c r="P11" s="31"/>
      <c r="Q11" s="34"/>
    </row>
    <row r="12" spans="1:17" hidden="1" x14ac:dyDescent="0.45">
      <c r="A12" s="23" t="s">
        <v>27</v>
      </c>
      <c r="B12" s="23" t="s">
        <v>28</v>
      </c>
      <c r="C12" s="4" t="s">
        <v>18</v>
      </c>
      <c r="D12" s="35">
        <v>1100000</v>
      </c>
      <c r="E12" s="35">
        <v>260</v>
      </c>
      <c r="F12" s="4">
        <v>18420</v>
      </c>
      <c r="G12" s="4">
        <f>4090+65</f>
        <v>4155</v>
      </c>
      <c r="H12" s="4">
        <v>0</v>
      </c>
      <c r="I12" s="4">
        <v>70</v>
      </c>
      <c r="J12" s="38">
        <v>5000</v>
      </c>
      <c r="K12" s="4">
        <f t="shared" ref="K12:K13" si="2">SUM(F12,H12,I12)-G12</f>
        <v>14335</v>
      </c>
      <c r="L12" s="38">
        <f>SUM(K12:K13)-J12</f>
        <v>12834</v>
      </c>
      <c r="M12" s="35">
        <f>D12</f>
        <v>1100000</v>
      </c>
      <c r="N12" s="32">
        <f>L12*E12</f>
        <v>3336840</v>
      </c>
      <c r="O12" s="24">
        <f>SUM(M12:N13)</f>
        <v>4436840</v>
      </c>
      <c r="P12" s="29">
        <v>0.2</v>
      </c>
      <c r="Q12" s="32">
        <f>O12*(1-P12)</f>
        <v>3549472</v>
      </c>
    </row>
    <row r="13" spans="1:17" hidden="1" x14ac:dyDescent="0.45">
      <c r="A13" s="23"/>
      <c r="B13" s="23"/>
      <c r="C13" s="4" t="s">
        <v>19</v>
      </c>
      <c r="D13" s="37">
        <v>1100000</v>
      </c>
      <c r="E13" s="37">
        <v>260</v>
      </c>
      <c r="F13" s="4">
        <v>6462</v>
      </c>
      <c r="G13" s="4">
        <f>2871+125</f>
        <v>2996</v>
      </c>
      <c r="H13" s="4">
        <v>0</v>
      </c>
      <c r="I13" s="4">
        <v>33</v>
      </c>
      <c r="J13" s="40"/>
      <c r="K13" s="4">
        <f t="shared" si="2"/>
        <v>3499</v>
      </c>
      <c r="L13" s="40"/>
      <c r="M13" s="37"/>
      <c r="N13" s="34"/>
      <c r="O13" s="23"/>
      <c r="P13" s="31"/>
      <c r="Q13" s="34"/>
    </row>
    <row r="14" spans="1:17" hidden="1" x14ac:dyDescent="0.45">
      <c r="A14" s="23" t="s">
        <v>30</v>
      </c>
      <c r="B14" s="23" t="s">
        <v>29</v>
      </c>
      <c r="C14" s="4" t="s">
        <v>18</v>
      </c>
      <c r="D14" s="35">
        <v>1100000</v>
      </c>
      <c r="E14" s="35">
        <v>260</v>
      </c>
      <c r="F14" s="4">
        <v>16615</v>
      </c>
      <c r="G14" s="4">
        <f>4825+47</f>
        <v>4872</v>
      </c>
      <c r="H14" s="4">
        <v>0</v>
      </c>
      <c r="I14" s="4">
        <v>101</v>
      </c>
      <c r="J14" s="38">
        <v>5000</v>
      </c>
      <c r="K14" s="4">
        <f t="shared" ref="K14:K15" si="3">SUM(F14,H14,I14)-G14</f>
        <v>11844</v>
      </c>
      <c r="L14" s="38">
        <f>SUM(K14:K15)-J14</f>
        <v>9433</v>
      </c>
      <c r="M14" s="35">
        <f>D14</f>
        <v>1100000</v>
      </c>
      <c r="N14" s="32">
        <f>L14*E14</f>
        <v>2452580</v>
      </c>
      <c r="O14" s="24">
        <f>SUM(M14:N15)</f>
        <v>3552580</v>
      </c>
      <c r="P14" s="29">
        <v>0.2</v>
      </c>
      <c r="Q14" s="32">
        <f>O14*(1-P14)</f>
        <v>2842064</v>
      </c>
    </row>
    <row r="15" spans="1:17" hidden="1" x14ac:dyDescent="0.45">
      <c r="A15" s="23"/>
      <c r="B15" s="23"/>
      <c r="C15" s="4" t="s">
        <v>19</v>
      </c>
      <c r="D15" s="37">
        <v>1100000</v>
      </c>
      <c r="E15" s="37">
        <v>260</v>
      </c>
      <c r="F15" s="4">
        <v>5815</v>
      </c>
      <c r="G15" s="4">
        <f>3180+97</f>
        <v>3277</v>
      </c>
      <c r="H15" s="4">
        <v>0</v>
      </c>
      <c r="I15" s="4">
        <v>51</v>
      </c>
      <c r="J15" s="40"/>
      <c r="K15" s="4">
        <f t="shared" si="3"/>
        <v>2589</v>
      </c>
      <c r="L15" s="40"/>
      <c r="M15" s="37"/>
      <c r="N15" s="34"/>
      <c r="O15" s="23"/>
      <c r="P15" s="31"/>
      <c r="Q15" s="34"/>
    </row>
    <row r="16" spans="1:17" hidden="1" x14ac:dyDescent="0.45">
      <c r="A16" s="23" t="s">
        <v>32</v>
      </c>
      <c r="B16" s="23" t="s">
        <v>31</v>
      </c>
      <c r="C16" s="4" t="s">
        <v>18</v>
      </c>
      <c r="D16" s="25">
        <v>1100000</v>
      </c>
      <c r="E16" s="25">
        <v>260</v>
      </c>
      <c r="F16" s="4">
        <v>18287</v>
      </c>
      <c r="G16" s="4">
        <f>4765+47</f>
        <v>4812</v>
      </c>
      <c r="H16" s="4">
        <v>0</v>
      </c>
      <c r="I16" s="4">
        <v>132</v>
      </c>
      <c r="J16" s="23">
        <v>5000</v>
      </c>
      <c r="K16" s="4">
        <f t="shared" ref="K16:K18" si="4">SUM(F16,H16,I16)-G16</f>
        <v>13607</v>
      </c>
      <c r="L16" s="23">
        <f>SUM(K16:K18)-J16</f>
        <v>16614</v>
      </c>
      <c r="M16" s="25">
        <f>D16</f>
        <v>1100000</v>
      </c>
      <c r="N16" s="24">
        <f>L16*E16</f>
        <v>4319640</v>
      </c>
      <c r="O16" s="24">
        <f>SUM(M16:N18)</f>
        <v>5419640</v>
      </c>
      <c r="P16" s="21">
        <v>0.2</v>
      </c>
      <c r="Q16" s="24">
        <f>O16*(1-P16)</f>
        <v>4335712</v>
      </c>
    </row>
    <row r="17" spans="1:17" hidden="1" x14ac:dyDescent="0.45">
      <c r="A17" s="23"/>
      <c r="B17" s="23"/>
      <c r="C17" s="4" t="s">
        <v>19</v>
      </c>
      <c r="D17" s="25"/>
      <c r="E17" s="25"/>
      <c r="F17" s="4">
        <v>12879</v>
      </c>
      <c r="G17" s="4">
        <f>4928+93</f>
        <v>5021</v>
      </c>
      <c r="H17" s="4">
        <v>0</v>
      </c>
      <c r="I17" s="4">
        <v>119</v>
      </c>
      <c r="J17" s="23"/>
      <c r="K17" s="4">
        <f t="shared" si="4"/>
        <v>7977</v>
      </c>
      <c r="L17" s="23"/>
      <c r="M17" s="25"/>
      <c r="N17" s="24"/>
      <c r="O17" s="24"/>
      <c r="P17" s="21"/>
      <c r="Q17" s="24"/>
    </row>
    <row r="18" spans="1:17" hidden="1" x14ac:dyDescent="0.45">
      <c r="A18" s="23"/>
      <c r="B18" s="23"/>
      <c r="C18" s="4" t="s">
        <v>33</v>
      </c>
      <c r="D18" s="25"/>
      <c r="E18" s="25"/>
      <c r="F18" s="4">
        <v>30</v>
      </c>
      <c r="G18" s="4">
        <v>0</v>
      </c>
      <c r="H18" s="4">
        <v>0</v>
      </c>
      <c r="I18" s="4">
        <v>0</v>
      </c>
      <c r="J18" s="23"/>
      <c r="K18" s="4">
        <f t="shared" si="4"/>
        <v>30</v>
      </c>
      <c r="L18" s="23"/>
      <c r="M18" s="25"/>
      <c r="N18" s="24"/>
      <c r="O18" s="24"/>
      <c r="P18" s="21"/>
      <c r="Q18" s="24"/>
    </row>
    <row r="19" spans="1:17" hidden="1" x14ac:dyDescent="0.45">
      <c r="A19" s="23" t="s">
        <v>35</v>
      </c>
      <c r="B19" s="23" t="s">
        <v>34</v>
      </c>
      <c r="C19" s="4" t="s">
        <v>18</v>
      </c>
      <c r="D19" s="25">
        <v>880000</v>
      </c>
      <c r="E19" s="25">
        <v>208</v>
      </c>
      <c r="F19" s="4">
        <v>18489</v>
      </c>
      <c r="G19" s="4">
        <f>5559+54</f>
        <v>5613</v>
      </c>
      <c r="H19" s="4">
        <v>0</v>
      </c>
      <c r="I19" s="4">
        <v>109</v>
      </c>
      <c r="J19" s="23">
        <v>5000</v>
      </c>
      <c r="K19" s="4">
        <f t="shared" ref="K19:K21" si="5">SUM(F19,H19,I19)-G19</f>
        <v>12985</v>
      </c>
      <c r="L19" s="23">
        <f>SUM(K19:K21)-J19</f>
        <v>10406</v>
      </c>
      <c r="M19" s="25">
        <f>D19</f>
        <v>880000</v>
      </c>
      <c r="N19" s="24">
        <f>L19*E19</f>
        <v>2164448</v>
      </c>
      <c r="O19" s="24">
        <f>SUM(M19:N21)</f>
        <v>3044448</v>
      </c>
      <c r="P19" s="21">
        <v>0</v>
      </c>
      <c r="Q19" s="24">
        <f>O19*(1-P19)</f>
        <v>3044448</v>
      </c>
    </row>
    <row r="20" spans="1:17" hidden="1" x14ac:dyDescent="0.45">
      <c r="A20" s="23"/>
      <c r="B20" s="23"/>
      <c r="C20" s="4" t="s">
        <v>19</v>
      </c>
      <c r="D20" s="25"/>
      <c r="E20" s="25"/>
      <c r="F20" s="4">
        <v>6376</v>
      </c>
      <c r="G20" s="4">
        <f>3959+88</f>
        <v>4047</v>
      </c>
      <c r="H20" s="4">
        <v>0</v>
      </c>
      <c r="I20" s="4">
        <v>71</v>
      </c>
      <c r="J20" s="23"/>
      <c r="K20" s="4">
        <f t="shared" si="5"/>
        <v>2400</v>
      </c>
      <c r="L20" s="23"/>
      <c r="M20" s="25"/>
      <c r="N20" s="24"/>
      <c r="O20" s="24"/>
      <c r="P20" s="21"/>
      <c r="Q20" s="24"/>
    </row>
    <row r="21" spans="1:17" hidden="1" x14ac:dyDescent="0.45">
      <c r="A21" s="23"/>
      <c r="B21" s="23"/>
      <c r="C21" s="4" t="s">
        <v>33</v>
      </c>
      <c r="D21" s="25"/>
      <c r="E21" s="25"/>
      <c r="F21" s="4">
        <v>21</v>
      </c>
      <c r="G21" s="4">
        <v>0</v>
      </c>
      <c r="H21" s="4">
        <v>0</v>
      </c>
      <c r="I21" s="4">
        <v>0</v>
      </c>
      <c r="J21" s="23"/>
      <c r="K21" s="4">
        <f t="shared" si="5"/>
        <v>21</v>
      </c>
      <c r="L21" s="23"/>
      <c r="M21" s="25"/>
      <c r="N21" s="24"/>
      <c r="O21" s="24"/>
      <c r="P21" s="21"/>
      <c r="Q21" s="24"/>
    </row>
    <row r="22" spans="1:17" hidden="1" x14ac:dyDescent="0.45">
      <c r="A22" s="23" t="s">
        <v>37</v>
      </c>
      <c r="B22" s="23" t="s">
        <v>36</v>
      </c>
      <c r="C22" s="4" t="s">
        <v>18</v>
      </c>
      <c r="D22" s="25">
        <v>880000</v>
      </c>
      <c r="E22" s="25">
        <v>208</v>
      </c>
      <c r="F22" s="4">
        <v>23379</v>
      </c>
      <c r="G22" s="4">
        <f>6547+57</f>
        <v>6604</v>
      </c>
      <c r="H22" s="4">
        <v>0</v>
      </c>
      <c r="I22" s="4">
        <v>130</v>
      </c>
      <c r="J22" s="23">
        <v>5000</v>
      </c>
      <c r="K22" s="4">
        <f t="shared" ref="K22:K24" si="6">SUM(F22,H22,I22)-G22</f>
        <v>16905</v>
      </c>
      <c r="L22" s="23">
        <f>SUM(K22:K24)-J22</f>
        <v>15760</v>
      </c>
      <c r="M22" s="25">
        <f>D22</f>
        <v>880000</v>
      </c>
      <c r="N22" s="24">
        <f>L22*E22</f>
        <v>3278080</v>
      </c>
      <c r="O22" s="24">
        <f>SUM(M22:N24)</f>
        <v>4158080</v>
      </c>
      <c r="P22" s="21">
        <v>0</v>
      </c>
      <c r="Q22" s="24">
        <f>O22*(1-P22)</f>
        <v>4158080</v>
      </c>
    </row>
    <row r="23" spans="1:17" hidden="1" x14ac:dyDescent="0.45">
      <c r="A23" s="23"/>
      <c r="B23" s="23"/>
      <c r="C23" s="4" t="s">
        <v>19</v>
      </c>
      <c r="D23" s="25"/>
      <c r="E23" s="25"/>
      <c r="F23" s="4">
        <v>8564</v>
      </c>
      <c r="G23" s="4">
        <f>4715+90</f>
        <v>4805</v>
      </c>
      <c r="H23" s="4">
        <v>0</v>
      </c>
      <c r="I23" s="4">
        <v>67</v>
      </c>
      <c r="J23" s="23"/>
      <c r="K23" s="4">
        <f t="shared" si="6"/>
        <v>3826</v>
      </c>
      <c r="L23" s="23"/>
      <c r="M23" s="25"/>
      <c r="N23" s="24"/>
      <c r="O23" s="24"/>
      <c r="P23" s="21"/>
      <c r="Q23" s="24"/>
    </row>
    <row r="24" spans="1:17" hidden="1" x14ac:dyDescent="0.45">
      <c r="A24" s="23"/>
      <c r="B24" s="23"/>
      <c r="C24" s="4" t="s">
        <v>33</v>
      </c>
      <c r="D24" s="25"/>
      <c r="E24" s="25"/>
      <c r="F24" s="4">
        <v>29</v>
      </c>
      <c r="G24" s="4">
        <v>0</v>
      </c>
      <c r="H24" s="4">
        <v>0</v>
      </c>
      <c r="I24" s="4">
        <v>0</v>
      </c>
      <c r="J24" s="23"/>
      <c r="K24" s="4">
        <f t="shared" si="6"/>
        <v>29</v>
      </c>
      <c r="L24" s="23"/>
      <c r="M24" s="25"/>
      <c r="N24" s="24"/>
      <c r="O24" s="24"/>
      <c r="P24" s="21"/>
      <c r="Q24" s="24"/>
    </row>
    <row r="25" spans="1:17" hidden="1" x14ac:dyDescent="0.45">
      <c r="A25" s="23" t="s">
        <v>38</v>
      </c>
      <c r="B25" s="23" t="s">
        <v>40</v>
      </c>
      <c r="C25" s="4" t="s">
        <v>18</v>
      </c>
      <c r="D25" s="25">
        <v>880000</v>
      </c>
      <c r="E25" s="25">
        <v>208</v>
      </c>
      <c r="F25" s="4">
        <v>23317</v>
      </c>
      <c r="G25" s="4">
        <f>6000+54</f>
        <v>6054</v>
      </c>
      <c r="H25" s="4">
        <v>0</v>
      </c>
      <c r="I25" s="4">
        <v>71</v>
      </c>
      <c r="J25" s="23">
        <v>5000</v>
      </c>
      <c r="K25" s="4">
        <f t="shared" ref="K25:K27" si="7">SUM(F25,H25,I25)-G25</f>
        <v>17334</v>
      </c>
      <c r="L25" s="23">
        <f>SUM(K25:K27)-J25</f>
        <v>16191</v>
      </c>
      <c r="M25" s="25">
        <f>D25</f>
        <v>880000</v>
      </c>
      <c r="N25" s="24">
        <f>L25*E25</f>
        <v>3367728</v>
      </c>
      <c r="O25" s="24">
        <f>SUM(M25:N27)</f>
        <v>4247728</v>
      </c>
      <c r="P25" s="21">
        <v>0</v>
      </c>
      <c r="Q25" s="24">
        <f>O25*(1-P25)</f>
        <v>4247728</v>
      </c>
    </row>
    <row r="26" spans="1:17" hidden="1" x14ac:dyDescent="0.45">
      <c r="A26" s="23"/>
      <c r="B26" s="23"/>
      <c r="C26" s="4" t="s">
        <v>19</v>
      </c>
      <c r="D26" s="25"/>
      <c r="E26" s="25"/>
      <c r="F26" s="4">
        <v>7982</v>
      </c>
      <c r="G26" s="4">
        <f>4142+89</f>
        <v>4231</v>
      </c>
      <c r="H26" s="4">
        <v>0</v>
      </c>
      <c r="I26" s="4">
        <v>52</v>
      </c>
      <c r="J26" s="23"/>
      <c r="K26" s="4">
        <f t="shared" si="7"/>
        <v>3803</v>
      </c>
      <c r="L26" s="23"/>
      <c r="M26" s="25"/>
      <c r="N26" s="24"/>
      <c r="O26" s="24"/>
      <c r="P26" s="21"/>
      <c r="Q26" s="24"/>
    </row>
    <row r="27" spans="1:17" hidden="1" x14ac:dyDescent="0.45">
      <c r="A27" s="23"/>
      <c r="B27" s="23"/>
      <c r="C27" s="4" t="s">
        <v>33</v>
      </c>
      <c r="D27" s="25"/>
      <c r="E27" s="25"/>
      <c r="F27" s="4">
        <v>54</v>
      </c>
      <c r="G27" s="4">
        <v>0</v>
      </c>
      <c r="H27" s="4">
        <v>0</v>
      </c>
      <c r="I27" s="4">
        <v>0</v>
      </c>
      <c r="J27" s="23"/>
      <c r="K27" s="4">
        <f t="shared" si="7"/>
        <v>54</v>
      </c>
      <c r="L27" s="23"/>
      <c r="M27" s="25"/>
      <c r="N27" s="24"/>
      <c r="O27" s="24"/>
      <c r="P27" s="21"/>
      <c r="Q27" s="24"/>
    </row>
    <row r="28" spans="1:17" hidden="1" x14ac:dyDescent="0.45">
      <c r="A28" s="23" t="s">
        <v>39</v>
      </c>
      <c r="B28" s="23" t="s">
        <v>41</v>
      </c>
      <c r="C28" s="4" t="s">
        <v>18</v>
      </c>
      <c r="D28" s="25">
        <v>880000</v>
      </c>
      <c r="E28" s="25">
        <v>208</v>
      </c>
      <c r="F28" s="4">
        <v>21151</v>
      </c>
      <c r="G28" s="4">
        <f>6990+46</f>
        <v>7036</v>
      </c>
      <c r="H28" s="4">
        <v>0</v>
      </c>
      <c r="I28" s="4">
        <v>74</v>
      </c>
      <c r="J28" s="23">
        <v>5000</v>
      </c>
      <c r="K28" s="4">
        <f t="shared" ref="K28:K30" si="8">SUM(F28,H28,I28)-G28</f>
        <v>14189</v>
      </c>
      <c r="L28" s="23">
        <f>SUM(K28:K30)-J28</f>
        <v>12858</v>
      </c>
      <c r="M28" s="25">
        <f>D28</f>
        <v>880000</v>
      </c>
      <c r="N28" s="24">
        <f>L28*E28</f>
        <v>2674464</v>
      </c>
      <c r="O28" s="24">
        <f>SUM(M28:N30)</f>
        <v>3554464</v>
      </c>
      <c r="P28" s="21">
        <v>0</v>
      </c>
      <c r="Q28" s="24">
        <f>O28*(1-P28)</f>
        <v>3554464</v>
      </c>
    </row>
    <row r="29" spans="1:17" hidden="1" x14ac:dyDescent="0.45">
      <c r="A29" s="23"/>
      <c r="B29" s="23"/>
      <c r="C29" s="4" t="s">
        <v>19</v>
      </c>
      <c r="D29" s="25"/>
      <c r="E29" s="25"/>
      <c r="F29" s="4">
        <v>7581</v>
      </c>
      <c r="G29" s="4">
        <f>3918+67</f>
        <v>3985</v>
      </c>
      <c r="H29" s="4">
        <v>0</v>
      </c>
      <c r="I29" s="4">
        <v>32</v>
      </c>
      <c r="J29" s="23"/>
      <c r="K29" s="4">
        <f t="shared" si="8"/>
        <v>3628</v>
      </c>
      <c r="L29" s="23"/>
      <c r="M29" s="25"/>
      <c r="N29" s="24"/>
      <c r="O29" s="24"/>
      <c r="P29" s="21"/>
      <c r="Q29" s="24"/>
    </row>
    <row r="30" spans="1:17" hidden="1" x14ac:dyDescent="0.45">
      <c r="A30" s="23"/>
      <c r="B30" s="23"/>
      <c r="C30" s="4" t="s">
        <v>33</v>
      </c>
      <c r="D30" s="25"/>
      <c r="E30" s="25"/>
      <c r="F30" s="4">
        <v>41</v>
      </c>
      <c r="G30" s="4">
        <v>0</v>
      </c>
      <c r="H30" s="4">
        <v>0</v>
      </c>
      <c r="I30" s="4">
        <v>0</v>
      </c>
      <c r="J30" s="23"/>
      <c r="K30" s="4">
        <f t="shared" si="8"/>
        <v>41</v>
      </c>
      <c r="L30" s="23"/>
      <c r="M30" s="25"/>
      <c r="N30" s="24"/>
      <c r="O30" s="24"/>
      <c r="P30" s="21"/>
      <c r="Q30" s="24"/>
    </row>
    <row r="31" spans="1:17" hidden="1" x14ac:dyDescent="0.45">
      <c r="A31" s="23" t="s">
        <v>42</v>
      </c>
      <c r="B31" s="23" t="s">
        <v>5</v>
      </c>
      <c r="C31" s="4" t="s">
        <v>18</v>
      </c>
      <c r="D31" s="35">
        <v>1800000</v>
      </c>
      <c r="E31" s="35">
        <v>384</v>
      </c>
      <c r="F31" s="4">
        <v>18995</v>
      </c>
      <c r="G31" s="4">
        <f>8413+24</f>
        <v>8437</v>
      </c>
      <c r="H31" s="4">
        <v>0</v>
      </c>
      <c r="I31" s="4">
        <v>64</v>
      </c>
      <c r="J31" s="23">
        <v>5000</v>
      </c>
      <c r="K31" s="4">
        <f t="shared" ref="K31:K33" si="9">SUM(F31,H31,I31)-G31</f>
        <v>10622</v>
      </c>
      <c r="L31" s="23">
        <f>SUM(K31:K33)-J31</f>
        <v>9950</v>
      </c>
      <c r="M31" s="25">
        <f>D31</f>
        <v>1800000</v>
      </c>
      <c r="N31" s="24">
        <f>L31*E31</f>
        <v>3820800</v>
      </c>
      <c r="O31" s="24">
        <f>SUM(M31:N33)</f>
        <v>5620800</v>
      </c>
      <c r="P31" s="21">
        <v>0</v>
      </c>
      <c r="Q31" s="24">
        <f>O31*(1-P31)</f>
        <v>5620800</v>
      </c>
    </row>
    <row r="32" spans="1:17" hidden="1" x14ac:dyDescent="0.45">
      <c r="A32" s="23"/>
      <c r="B32" s="23"/>
      <c r="C32" s="4" t="s">
        <v>19</v>
      </c>
      <c r="D32" s="36"/>
      <c r="E32" s="36"/>
      <c r="F32" s="4">
        <v>10279</v>
      </c>
      <c r="G32" s="4">
        <f>5970+77</f>
        <v>6047</v>
      </c>
      <c r="H32" s="4">
        <v>0</v>
      </c>
      <c r="I32" s="4">
        <v>59</v>
      </c>
      <c r="J32" s="23"/>
      <c r="K32" s="4">
        <f t="shared" si="9"/>
        <v>4291</v>
      </c>
      <c r="L32" s="23"/>
      <c r="M32" s="25"/>
      <c r="N32" s="24"/>
      <c r="O32" s="24"/>
      <c r="P32" s="21"/>
      <c r="Q32" s="24"/>
    </row>
    <row r="33" spans="1:19" hidden="1" x14ac:dyDescent="0.45">
      <c r="A33" s="23"/>
      <c r="B33" s="23"/>
      <c r="C33" s="4" t="s">
        <v>33</v>
      </c>
      <c r="D33" s="37"/>
      <c r="E33" s="37"/>
      <c r="F33" s="4">
        <v>37</v>
      </c>
      <c r="G33" s="4">
        <v>0</v>
      </c>
      <c r="H33" s="4">
        <v>0</v>
      </c>
      <c r="I33" s="4">
        <v>0</v>
      </c>
      <c r="J33" s="23"/>
      <c r="K33" s="4">
        <f t="shared" si="9"/>
        <v>37</v>
      </c>
      <c r="L33" s="23"/>
      <c r="M33" s="25"/>
      <c r="N33" s="24"/>
      <c r="O33" s="24"/>
      <c r="P33" s="21"/>
      <c r="Q33" s="24"/>
    </row>
    <row r="34" spans="1:19" hidden="1" x14ac:dyDescent="0.45">
      <c r="A34" s="23" t="s">
        <v>43</v>
      </c>
      <c r="B34" s="23" t="s">
        <v>6</v>
      </c>
      <c r="C34" s="4" t="s">
        <v>18</v>
      </c>
      <c r="D34" s="35">
        <v>1800000</v>
      </c>
      <c r="E34" s="35">
        <v>384</v>
      </c>
      <c r="F34" s="4">
        <v>23834</v>
      </c>
      <c r="G34" s="4">
        <f>7254+38</f>
        <v>7292</v>
      </c>
      <c r="H34" s="4">
        <v>0</v>
      </c>
      <c r="I34" s="4">
        <v>54</v>
      </c>
      <c r="J34" s="23">
        <v>5000</v>
      </c>
      <c r="K34" s="4">
        <f t="shared" ref="K34:K36" si="10">SUM(F34,H34,I34)-G34</f>
        <v>16596</v>
      </c>
      <c r="L34" s="23">
        <f>SUM(K34:K36)-J34</f>
        <v>15897</v>
      </c>
      <c r="M34" s="25">
        <f>D34</f>
        <v>1800000</v>
      </c>
      <c r="N34" s="24">
        <f>L34*E34</f>
        <v>6104448</v>
      </c>
      <c r="O34" s="24">
        <f>SUM(M34:N36)</f>
        <v>7904448</v>
      </c>
      <c r="P34" s="21">
        <v>0</v>
      </c>
      <c r="Q34" s="24">
        <f>O34*(1-P34)</f>
        <v>7904448</v>
      </c>
    </row>
    <row r="35" spans="1:19" hidden="1" x14ac:dyDescent="0.45">
      <c r="A35" s="23"/>
      <c r="B35" s="23"/>
      <c r="C35" s="4" t="s">
        <v>19</v>
      </c>
      <c r="D35" s="36"/>
      <c r="E35" s="36"/>
      <c r="F35" s="4">
        <v>8858</v>
      </c>
      <c r="G35" s="4">
        <f>4579+71</f>
        <v>4650</v>
      </c>
      <c r="H35" s="4">
        <v>0</v>
      </c>
      <c r="I35" s="4">
        <v>44</v>
      </c>
      <c r="J35" s="23"/>
      <c r="K35" s="4">
        <f t="shared" si="10"/>
        <v>4252</v>
      </c>
      <c r="L35" s="23"/>
      <c r="M35" s="25"/>
      <c r="N35" s="24"/>
      <c r="O35" s="24"/>
      <c r="P35" s="21"/>
      <c r="Q35" s="24"/>
    </row>
    <row r="36" spans="1:19" hidden="1" x14ac:dyDescent="0.45">
      <c r="A36" s="23"/>
      <c r="B36" s="23"/>
      <c r="C36" s="4" t="s">
        <v>33</v>
      </c>
      <c r="D36" s="37"/>
      <c r="E36" s="37"/>
      <c r="F36" s="4">
        <v>49</v>
      </c>
      <c r="G36" s="4">
        <v>0</v>
      </c>
      <c r="H36" s="4">
        <v>0</v>
      </c>
      <c r="I36" s="4">
        <v>0</v>
      </c>
      <c r="J36" s="23"/>
      <c r="K36" s="4">
        <f t="shared" si="10"/>
        <v>49</v>
      </c>
      <c r="L36" s="23"/>
      <c r="M36" s="25"/>
      <c r="N36" s="24"/>
      <c r="O36" s="24"/>
      <c r="P36" s="21"/>
      <c r="Q36" s="24"/>
    </row>
    <row r="37" spans="1:19" hidden="1" x14ac:dyDescent="0.45">
      <c r="A37" s="23" t="s">
        <v>44</v>
      </c>
      <c r="B37" s="23" t="s">
        <v>7</v>
      </c>
      <c r="C37" s="4" t="s">
        <v>18</v>
      </c>
      <c r="D37" s="35">
        <v>1800000</v>
      </c>
      <c r="E37" s="35">
        <v>384</v>
      </c>
      <c r="F37" s="4"/>
      <c r="G37" s="4"/>
      <c r="H37" s="4"/>
      <c r="I37" s="4"/>
      <c r="J37" s="23"/>
      <c r="K37" s="4"/>
      <c r="L37" s="23"/>
      <c r="M37" s="25"/>
      <c r="N37" s="24"/>
      <c r="O37" s="24"/>
      <c r="P37" s="21"/>
      <c r="Q37" s="24"/>
    </row>
    <row r="38" spans="1:19" hidden="1" x14ac:dyDescent="0.45">
      <c r="A38" s="23"/>
      <c r="B38" s="23"/>
      <c r="C38" s="4" t="s">
        <v>19</v>
      </c>
      <c r="D38" s="36"/>
      <c r="E38" s="36"/>
      <c r="F38" s="4"/>
      <c r="G38" s="4"/>
      <c r="H38" s="4"/>
      <c r="I38" s="4"/>
      <c r="J38" s="23"/>
      <c r="K38" s="4"/>
      <c r="L38" s="23"/>
      <c r="M38" s="25"/>
      <c r="N38" s="24"/>
      <c r="O38" s="24"/>
      <c r="P38" s="21"/>
      <c r="Q38" s="24"/>
    </row>
    <row r="39" spans="1:19" hidden="1" x14ac:dyDescent="0.45">
      <c r="A39" s="23"/>
      <c r="B39" s="23"/>
      <c r="C39" s="4" t="s">
        <v>33</v>
      </c>
      <c r="D39" s="37"/>
      <c r="E39" s="37"/>
      <c r="F39" s="4"/>
      <c r="G39" s="4"/>
      <c r="H39" s="4"/>
      <c r="I39" s="4"/>
      <c r="J39" s="23"/>
      <c r="K39" s="4"/>
      <c r="L39" s="23"/>
      <c r="M39" s="25"/>
      <c r="N39" s="24"/>
      <c r="O39" s="24"/>
      <c r="P39" s="21"/>
      <c r="Q39" s="24"/>
    </row>
    <row r="40" spans="1:19" hidden="1" x14ac:dyDescent="0.45">
      <c r="A40" s="23" t="s">
        <v>45</v>
      </c>
      <c r="B40" s="23" t="s">
        <v>23</v>
      </c>
      <c r="C40" s="4" t="s">
        <v>18</v>
      </c>
      <c r="D40" s="35">
        <v>1800000</v>
      </c>
      <c r="E40" s="35">
        <v>384</v>
      </c>
      <c r="F40" s="4">
        <v>15838</v>
      </c>
      <c r="G40" s="4">
        <f>5824+56</f>
        <v>5880</v>
      </c>
      <c r="H40" s="4">
        <v>0</v>
      </c>
      <c r="I40" s="4">
        <v>86</v>
      </c>
      <c r="J40" s="23">
        <v>5000</v>
      </c>
      <c r="K40" s="4">
        <f t="shared" ref="K40:K42" si="11">SUM(F40,H40,I40)-G40</f>
        <v>10044</v>
      </c>
      <c r="L40" s="23">
        <f>SUM(K40:K42)-J40</f>
        <v>9427</v>
      </c>
      <c r="M40" s="25">
        <f>D40</f>
        <v>1800000</v>
      </c>
      <c r="N40" s="24">
        <f>L40*E40</f>
        <v>3619968</v>
      </c>
      <c r="O40" s="24">
        <f>SUM(M40:N42)</f>
        <v>5419968</v>
      </c>
      <c r="P40" s="21">
        <v>0</v>
      </c>
      <c r="Q40" s="24">
        <f>O40*(1-P40)</f>
        <v>5419968</v>
      </c>
    </row>
    <row r="41" spans="1:19" hidden="1" x14ac:dyDescent="0.45">
      <c r="A41" s="23"/>
      <c r="B41" s="23"/>
      <c r="C41" s="4" t="s">
        <v>19</v>
      </c>
      <c r="D41" s="36"/>
      <c r="E41" s="36"/>
      <c r="F41" s="4">
        <v>8679</v>
      </c>
      <c r="G41" s="4">
        <f>4292+83</f>
        <v>4375</v>
      </c>
      <c r="H41" s="4">
        <v>0</v>
      </c>
      <c r="I41" s="4">
        <v>53</v>
      </c>
      <c r="J41" s="23"/>
      <c r="K41" s="4">
        <f t="shared" si="11"/>
        <v>4357</v>
      </c>
      <c r="L41" s="23"/>
      <c r="M41" s="25"/>
      <c r="N41" s="24"/>
      <c r="O41" s="24"/>
      <c r="P41" s="21"/>
      <c r="Q41" s="24"/>
    </row>
    <row r="42" spans="1:19" hidden="1" x14ac:dyDescent="0.45">
      <c r="A42" s="23"/>
      <c r="B42" s="23"/>
      <c r="C42" s="4" t="s">
        <v>33</v>
      </c>
      <c r="D42" s="37"/>
      <c r="E42" s="37"/>
      <c r="F42" s="4">
        <v>26</v>
      </c>
      <c r="G42" s="4">
        <v>0</v>
      </c>
      <c r="H42" s="4">
        <v>0</v>
      </c>
      <c r="I42" s="4">
        <v>0</v>
      </c>
      <c r="J42" s="23"/>
      <c r="K42" s="4">
        <f t="shared" si="11"/>
        <v>26</v>
      </c>
      <c r="L42" s="23"/>
      <c r="M42" s="25"/>
      <c r="N42" s="24"/>
      <c r="O42" s="24"/>
      <c r="P42" s="21"/>
      <c r="Q42" s="24"/>
    </row>
    <row r="43" spans="1:19" hidden="1" x14ac:dyDescent="0.45">
      <c r="A43" s="23" t="s">
        <v>46</v>
      </c>
      <c r="B43" s="23" t="s">
        <v>24</v>
      </c>
      <c r="C43" s="4" t="s">
        <v>18</v>
      </c>
      <c r="D43" s="35">
        <v>1800000</v>
      </c>
      <c r="E43" s="35">
        <v>384</v>
      </c>
      <c r="F43" s="4">
        <v>17845</v>
      </c>
      <c r="G43" s="4">
        <f>5460+49</f>
        <v>5509</v>
      </c>
      <c r="H43" s="4">
        <v>0</v>
      </c>
      <c r="I43" s="4">
        <v>84</v>
      </c>
      <c r="J43" s="38">
        <v>5000</v>
      </c>
      <c r="K43" s="4">
        <f t="shared" ref="K43:K46" si="12">SUM(F43,H43,I43)-G43</f>
        <v>12420</v>
      </c>
      <c r="L43" s="38">
        <f>SUM(K43:K46)-J43</f>
        <v>13293</v>
      </c>
      <c r="M43" s="35">
        <f>D43</f>
        <v>1800000</v>
      </c>
      <c r="N43" s="32">
        <f>L43*E43</f>
        <v>5104512</v>
      </c>
      <c r="O43" s="32">
        <f>SUM(M43:N45)</f>
        <v>6904512</v>
      </c>
      <c r="P43" s="29">
        <v>0</v>
      </c>
      <c r="Q43" s="32">
        <f>O43*(1-P43)</f>
        <v>6904512</v>
      </c>
      <c r="R43" s="7"/>
      <c r="S43" s="8"/>
    </row>
    <row r="44" spans="1:19" hidden="1" x14ac:dyDescent="0.45">
      <c r="A44" s="23"/>
      <c r="B44" s="23"/>
      <c r="C44" s="4" t="s">
        <v>19</v>
      </c>
      <c r="D44" s="36"/>
      <c r="E44" s="36"/>
      <c r="F44" s="4">
        <v>9340</v>
      </c>
      <c r="G44" s="4">
        <f>4666+132</f>
        <v>4798</v>
      </c>
      <c r="H44" s="4">
        <v>0</v>
      </c>
      <c r="I44" s="4">
        <v>54</v>
      </c>
      <c r="J44" s="39"/>
      <c r="K44" s="4">
        <f t="shared" si="12"/>
        <v>4596</v>
      </c>
      <c r="L44" s="39"/>
      <c r="M44" s="36"/>
      <c r="N44" s="33"/>
      <c r="O44" s="33"/>
      <c r="P44" s="30"/>
      <c r="Q44" s="33"/>
      <c r="R44" s="7"/>
      <c r="S44" s="8"/>
    </row>
    <row r="45" spans="1:19" hidden="1" x14ac:dyDescent="0.45">
      <c r="A45" s="23"/>
      <c r="B45" s="23"/>
      <c r="C45" s="4" t="s">
        <v>33</v>
      </c>
      <c r="D45" s="36"/>
      <c r="E45" s="36"/>
      <c r="F45" s="4">
        <v>16</v>
      </c>
      <c r="G45" s="4">
        <v>0</v>
      </c>
      <c r="H45" s="4">
        <v>0</v>
      </c>
      <c r="I45" s="4">
        <v>0</v>
      </c>
      <c r="J45" s="39"/>
      <c r="K45" s="4">
        <f t="shared" si="12"/>
        <v>16</v>
      </c>
      <c r="L45" s="39"/>
      <c r="M45" s="36"/>
      <c r="N45" s="33"/>
      <c r="O45" s="33"/>
      <c r="P45" s="30"/>
      <c r="Q45" s="33"/>
      <c r="R45" s="7"/>
      <c r="S45" s="8"/>
    </row>
    <row r="46" spans="1:19" hidden="1" x14ac:dyDescent="0.45">
      <c r="A46" s="23"/>
      <c r="B46" s="23"/>
      <c r="C46" s="4" t="s">
        <v>47</v>
      </c>
      <c r="D46" s="37"/>
      <c r="E46" s="37"/>
      <c r="F46" s="4">
        <v>1555</v>
      </c>
      <c r="G46" s="4">
        <v>302</v>
      </c>
      <c r="H46" s="4">
        <v>0</v>
      </c>
      <c r="I46" s="4">
        <v>8</v>
      </c>
      <c r="J46" s="40"/>
      <c r="K46" s="4">
        <f t="shared" si="12"/>
        <v>1261</v>
      </c>
      <c r="L46" s="40"/>
      <c r="M46" s="37"/>
      <c r="N46" s="34"/>
      <c r="O46" s="34"/>
      <c r="P46" s="31"/>
      <c r="Q46" s="34"/>
      <c r="R46" s="7"/>
      <c r="S46" s="8"/>
    </row>
    <row r="47" spans="1:19" hidden="1" x14ac:dyDescent="0.45">
      <c r="A47" s="23" t="s">
        <v>48</v>
      </c>
      <c r="B47" s="23" t="s">
        <v>28</v>
      </c>
      <c r="C47" s="4" t="s">
        <v>18</v>
      </c>
      <c r="D47" s="35">
        <v>1800000</v>
      </c>
      <c r="E47" s="35">
        <v>384</v>
      </c>
      <c r="F47" s="4">
        <v>16876</v>
      </c>
      <c r="G47" s="4">
        <f>4916+53</f>
        <v>4969</v>
      </c>
      <c r="H47" s="4">
        <v>0</v>
      </c>
      <c r="I47" s="4">
        <v>96</v>
      </c>
      <c r="J47" s="38">
        <v>5000</v>
      </c>
      <c r="K47" s="4">
        <f t="shared" ref="K47:K50" si="13">SUM(F47,H47,I47)-G47</f>
        <v>12003</v>
      </c>
      <c r="L47" s="38">
        <f>SUM(K47:K50)-J47</f>
        <v>13659</v>
      </c>
      <c r="M47" s="35">
        <f>D47</f>
        <v>1800000</v>
      </c>
      <c r="N47" s="32">
        <f>L47*E47</f>
        <v>5245056</v>
      </c>
      <c r="O47" s="26">
        <f>SUM(M47:N49)</f>
        <v>7045056</v>
      </c>
      <c r="P47" s="29">
        <v>0</v>
      </c>
      <c r="Q47" s="32">
        <f>O47*(1-P47)</f>
        <v>7045056</v>
      </c>
    </row>
    <row r="48" spans="1:19" hidden="1" x14ac:dyDescent="0.45">
      <c r="A48" s="23"/>
      <c r="B48" s="23"/>
      <c r="C48" s="4" t="s">
        <v>19</v>
      </c>
      <c r="D48" s="36"/>
      <c r="E48" s="36"/>
      <c r="F48" s="4">
        <v>10552</v>
      </c>
      <c r="G48" s="4">
        <f>4611+ 82</f>
        <v>4693</v>
      </c>
      <c r="H48" s="4">
        <v>0</v>
      </c>
      <c r="I48" s="4">
        <v>112</v>
      </c>
      <c r="J48" s="39"/>
      <c r="K48" s="4">
        <f t="shared" si="13"/>
        <v>5971</v>
      </c>
      <c r="L48" s="39"/>
      <c r="M48" s="36"/>
      <c r="N48" s="33"/>
      <c r="O48" s="27"/>
      <c r="P48" s="30"/>
      <c r="Q48" s="33"/>
    </row>
    <row r="49" spans="1:20" hidden="1" x14ac:dyDescent="0.45">
      <c r="A49" s="23"/>
      <c r="B49" s="23"/>
      <c r="C49" s="4" t="s">
        <v>33</v>
      </c>
      <c r="D49" s="36"/>
      <c r="E49" s="36"/>
      <c r="F49" s="4">
        <v>27</v>
      </c>
      <c r="G49" s="4">
        <v>0</v>
      </c>
      <c r="H49" s="4">
        <v>0</v>
      </c>
      <c r="I49" s="4">
        <v>0</v>
      </c>
      <c r="J49" s="39"/>
      <c r="K49" s="4">
        <f t="shared" si="13"/>
        <v>27</v>
      </c>
      <c r="L49" s="39"/>
      <c r="M49" s="36"/>
      <c r="N49" s="33"/>
      <c r="O49" s="27"/>
      <c r="P49" s="30"/>
      <c r="Q49" s="33"/>
    </row>
    <row r="50" spans="1:20" hidden="1" x14ac:dyDescent="0.45">
      <c r="A50" s="23"/>
      <c r="B50" s="23"/>
      <c r="C50" s="4" t="s">
        <v>47</v>
      </c>
      <c r="D50" s="37"/>
      <c r="E50" s="37"/>
      <c r="F50" s="4">
        <v>1280</v>
      </c>
      <c r="G50" s="4">
        <v>638</v>
      </c>
      <c r="H50" s="4">
        <v>0</v>
      </c>
      <c r="I50" s="4">
        <v>16</v>
      </c>
      <c r="J50" s="40"/>
      <c r="K50" s="4">
        <f t="shared" si="13"/>
        <v>658</v>
      </c>
      <c r="L50" s="40"/>
      <c r="M50" s="37"/>
      <c r="N50" s="34"/>
      <c r="O50" s="28"/>
      <c r="P50" s="31"/>
      <c r="Q50" s="34"/>
    </row>
    <row r="51" spans="1:20" hidden="1" x14ac:dyDescent="0.45">
      <c r="R51" s="1" t="s">
        <v>53</v>
      </c>
      <c r="S51" s="1" t="s">
        <v>54</v>
      </c>
      <c r="T51" s="1" t="s">
        <v>55</v>
      </c>
    </row>
    <row r="52" spans="1:20" hidden="1" x14ac:dyDescent="0.45">
      <c r="A52" s="23" t="s">
        <v>49</v>
      </c>
      <c r="B52" s="23" t="s">
        <v>31</v>
      </c>
      <c r="C52" s="4" t="s">
        <v>18</v>
      </c>
      <c r="D52" s="24">
        <v>2850000</v>
      </c>
      <c r="E52" s="25">
        <v>600</v>
      </c>
      <c r="F52" s="4">
        <v>14243</v>
      </c>
      <c r="G52" s="4">
        <f>5293+36</f>
        <v>5329</v>
      </c>
      <c r="H52" s="4">
        <v>0</v>
      </c>
      <c r="I52" s="4">
        <v>7</v>
      </c>
      <c r="J52" s="23">
        <v>5000</v>
      </c>
      <c r="K52" s="4">
        <f>SUM(F52,H52,I52)-G52</f>
        <v>8921</v>
      </c>
      <c r="L52" s="23">
        <f>SUM(K52:K55)-J52</f>
        <v>6243</v>
      </c>
      <c r="M52" s="24">
        <f>D52</f>
        <v>2850000</v>
      </c>
      <c r="N52" s="25">
        <f>L52*E52</f>
        <v>3745800</v>
      </c>
      <c r="O52" s="26">
        <f>M52+N52</f>
        <v>6595800</v>
      </c>
      <c r="P52" s="21">
        <v>0.2</v>
      </c>
      <c r="Q52" s="24">
        <f>O52*(1-P52)</f>
        <v>5276640</v>
      </c>
      <c r="R52" s="7">
        <f>K52/SUM($K$52:$K$55)</f>
        <v>0.79347149337365475</v>
      </c>
      <c r="S52" s="9"/>
      <c r="T52" s="1" t="s">
        <v>50</v>
      </c>
    </row>
    <row r="53" spans="1:20" hidden="1" x14ac:dyDescent="0.45">
      <c r="A53" s="23"/>
      <c r="B53" s="23"/>
      <c r="C53" s="4" t="s">
        <v>19</v>
      </c>
      <c r="D53" s="24"/>
      <c r="E53" s="25"/>
      <c r="F53" s="4">
        <v>5888</v>
      </c>
      <c r="G53" s="4">
        <f>4899+83</f>
        <v>4982</v>
      </c>
      <c r="H53" s="4">
        <v>0</v>
      </c>
      <c r="I53" s="4">
        <v>0</v>
      </c>
      <c r="J53" s="23"/>
      <c r="K53" s="4">
        <f t="shared" ref="K53:K55" si="14">SUM(F53,H53,I53)-G53</f>
        <v>906</v>
      </c>
      <c r="L53" s="23"/>
      <c r="M53" s="24"/>
      <c r="N53" s="25"/>
      <c r="O53" s="27"/>
      <c r="P53" s="21"/>
      <c r="Q53" s="24"/>
      <c r="R53" s="7">
        <f>K53/SUM($K$52:$K$55)</f>
        <v>8.0583474161700613E-2</v>
      </c>
      <c r="S53" s="9"/>
      <c r="T53" s="1" t="s">
        <v>51</v>
      </c>
    </row>
    <row r="54" spans="1:20" hidden="1" x14ac:dyDescent="0.45">
      <c r="A54" s="23"/>
      <c r="B54" s="23"/>
      <c r="C54" s="4" t="s">
        <v>33</v>
      </c>
      <c r="D54" s="24"/>
      <c r="E54" s="25"/>
      <c r="F54" s="4">
        <v>18</v>
      </c>
      <c r="G54" s="4">
        <v>0</v>
      </c>
      <c r="H54" s="4">
        <v>0</v>
      </c>
      <c r="I54" s="4">
        <v>0</v>
      </c>
      <c r="J54" s="23"/>
      <c r="K54" s="4">
        <f t="shared" si="14"/>
        <v>18</v>
      </c>
      <c r="L54" s="23"/>
      <c r="M54" s="24"/>
      <c r="N54" s="25"/>
      <c r="O54" s="27"/>
      <c r="P54" s="21"/>
      <c r="Q54" s="24"/>
      <c r="R54" s="7">
        <f>K54/SUM($K$52:$K$55)</f>
        <v>1.6009961753980255E-3</v>
      </c>
      <c r="S54" s="9"/>
      <c r="T54" s="1" t="s">
        <v>52</v>
      </c>
    </row>
    <row r="55" spans="1:20" hidden="1" x14ac:dyDescent="0.45">
      <c r="A55" s="23"/>
      <c r="B55" s="23"/>
      <c r="C55" s="4" t="s">
        <v>47</v>
      </c>
      <c r="D55" s="24"/>
      <c r="E55" s="25"/>
      <c r="F55" s="4">
        <v>2384</v>
      </c>
      <c r="G55" s="4">
        <f>1000+1</f>
        <v>1001</v>
      </c>
      <c r="H55" s="4">
        <v>0</v>
      </c>
      <c r="I55" s="4">
        <v>15</v>
      </c>
      <c r="J55" s="23"/>
      <c r="K55" s="4">
        <f t="shared" si="14"/>
        <v>1398</v>
      </c>
      <c r="L55" s="23"/>
      <c r="M55" s="24"/>
      <c r="N55" s="25"/>
      <c r="O55" s="28"/>
      <c r="P55" s="21"/>
      <c r="Q55" s="24"/>
      <c r="R55" s="7">
        <f>K55/SUM($K$52:$K$55)</f>
        <v>0.12434403628924665</v>
      </c>
      <c r="S55" s="9"/>
      <c r="T55" s="1" t="s">
        <v>47</v>
      </c>
    </row>
    <row r="57" spans="1:20" hidden="1" x14ac:dyDescent="0.45">
      <c r="R57" s="15"/>
      <c r="S57" s="15"/>
      <c r="T57" s="15"/>
    </row>
    <row r="58" spans="1:20" hidden="1" x14ac:dyDescent="0.45">
      <c r="A58" s="23" t="s">
        <v>56</v>
      </c>
      <c r="B58" s="23" t="s">
        <v>34</v>
      </c>
      <c r="C58" s="4" t="s">
        <v>18</v>
      </c>
      <c r="D58" s="24">
        <v>22800000</v>
      </c>
      <c r="E58" s="25">
        <v>4800</v>
      </c>
      <c r="F58" s="12">
        <v>16088</v>
      </c>
      <c r="G58" s="4">
        <f>5673+56</f>
        <v>5729</v>
      </c>
      <c r="H58" s="4">
        <v>0</v>
      </c>
      <c r="I58" s="4">
        <v>0</v>
      </c>
      <c r="J58" s="23">
        <v>5000</v>
      </c>
      <c r="K58" s="4">
        <f>SUM(F58,H58,I58)-G58</f>
        <v>10359</v>
      </c>
      <c r="L58" s="23">
        <f>SUM(K58:K61)-J58</f>
        <v>6805</v>
      </c>
      <c r="M58" s="24">
        <f>D58</f>
        <v>22800000</v>
      </c>
      <c r="N58" s="25">
        <f>L58*E58</f>
        <v>32664000</v>
      </c>
      <c r="O58" s="26">
        <f>M58+N58</f>
        <v>55464000</v>
      </c>
      <c r="P58" s="21">
        <v>0</v>
      </c>
      <c r="Q58" s="24">
        <f>O58*(1-P58)</f>
        <v>55464000</v>
      </c>
      <c r="R58" s="7"/>
      <c r="S58" s="9"/>
    </row>
    <row r="59" spans="1:20" hidden="1" x14ac:dyDescent="0.45">
      <c r="A59" s="23"/>
      <c r="B59" s="23"/>
      <c r="C59" s="4" t="s">
        <v>19</v>
      </c>
      <c r="D59" s="24"/>
      <c r="E59" s="25"/>
      <c r="F59" s="4">
        <v>6906</v>
      </c>
      <c r="G59" s="4">
        <f>5360+130</f>
        <v>5490</v>
      </c>
      <c r="H59" s="4">
        <v>0</v>
      </c>
      <c r="I59" s="4">
        <v>3</v>
      </c>
      <c r="J59" s="23"/>
      <c r="K59" s="4">
        <f>SUM(F59,H59,I59)-G59</f>
        <v>1419</v>
      </c>
      <c r="L59" s="23"/>
      <c r="M59" s="24"/>
      <c r="N59" s="25"/>
      <c r="O59" s="27"/>
      <c r="P59" s="21"/>
      <c r="Q59" s="24"/>
      <c r="R59" s="7"/>
      <c r="S59" s="9"/>
    </row>
    <row r="60" spans="1:20" hidden="1" x14ac:dyDescent="0.45">
      <c r="A60" s="23"/>
      <c r="B60" s="23"/>
      <c r="C60" s="4" t="s">
        <v>33</v>
      </c>
      <c r="D60" s="24"/>
      <c r="E60" s="25"/>
      <c r="F60" s="4">
        <v>20</v>
      </c>
      <c r="G60" s="4">
        <v>0</v>
      </c>
      <c r="H60" s="4">
        <v>0</v>
      </c>
      <c r="I60" s="4">
        <v>0</v>
      </c>
      <c r="J60" s="23"/>
      <c r="K60" s="4">
        <f t="shared" ref="K60:K61" si="15">SUM(F60,H60,I60)-G60</f>
        <v>20</v>
      </c>
      <c r="L60" s="23"/>
      <c r="M60" s="24"/>
      <c r="N60" s="25"/>
      <c r="O60" s="27"/>
      <c r="P60" s="21"/>
      <c r="Q60" s="24"/>
      <c r="R60" s="7"/>
      <c r="S60" s="9"/>
    </row>
    <row r="61" spans="1:20" hidden="1" x14ac:dyDescent="0.45">
      <c r="A61" s="23"/>
      <c r="B61" s="23"/>
      <c r="C61" s="4" t="s">
        <v>47</v>
      </c>
      <c r="D61" s="24"/>
      <c r="E61" s="25"/>
      <c r="F61" s="4">
        <v>253</v>
      </c>
      <c r="G61" s="4">
        <f>246</f>
        <v>246</v>
      </c>
      <c r="H61" s="4">
        <v>0</v>
      </c>
      <c r="I61" s="4">
        <v>0</v>
      </c>
      <c r="J61" s="23"/>
      <c r="K61" s="4">
        <f t="shared" si="15"/>
        <v>7</v>
      </c>
      <c r="L61" s="23"/>
      <c r="M61" s="24"/>
      <c r="N61" s="25"/>
      <c r="O61" s="28"/>
      <c r="P61" s="21"/>
      <c r="Q61" s="24"/>
      <c r="R61" s="7"/>
      <c r="S61" s="9"/>
    </row>
    <row r="62" spans="1:20" hidden="1" x14ac:dyDescent="0.45">
      <c r="D62" s="10"/>
      <c r="F62" s="10"/>
      <c r="H62" s="10"/>
      <c r="O62" s="11"/>
      <c r="R62" s="16" t="s">
        <v>55</v>
      </c>
      <c r="S62" s="16" t="s">
        <v>59</v>
      </c>
      <c r="T62" s="16" t="s">
        <v>53</v>
      </c>
    </row>
    <row r="63" spans="1:20" hidden="1" x14ac:dyDescent="0.45">
      <c r="A63" s="23" t="s">
        <v>57</v>
      </c>
      <c r="B63" s="23" t="s">
        <v>36</v>
      </c>
      <c r="C63" s="4" t="s">
        <v>18</v>
      </c>
      <c r="D63" s="24">
        <v>22800000</v>
      </c>
      <c r="E63" s="25">
        <v>4800</v>
      </c>
      <c r="F63" s="4">
        <v>19842</v>
      </c>
      <c r="G63" s="4">
        <f>5859+126</f>
        <v>5985</v>
      </c>
      <c r="H63" s="4">
        <v>0</v>
      </c>
      <c r="I63" s="4">
        <v>0</v>
      </c>
      <c r="J63" s="23">
        <v>5000</v>
      </c>
      <c r="K63" s="4">
        <f>SUM(F63,H63,I63)-G63</f>
        <v>13857</v>
      </c>
      <c r="L63" s="23">
        <f>SUM(K63:K66)-J63</f>
        <v>12639</v>
      </c>
      <c r="M63" s="24">
        <f>D63</f>
        <v>22800000</v>
      </c>
      <c r="N63" s="25">
        <f>L63*E63</f>
        <v>60667200</v>
      </c>
      <c r="O63" s="26">
        <f>M63+N63</f>
        <v>83467200</v>
      </c>
      <c r="P63" s="21">
        <v>0</v>
      </c>
      <c r="Q63" s="22">
        <f>O63*(1-P63)</f>
        <v>83467200</v>
      </c>
      <c r="R63" s="4" t="s">
        <v>50</v>
      </c>
      <c r="S63" s="14">
        <f>T63*$Q$63</f>
        <v>65570893.497363798</v>
      </c>
      <c r="T63" s="13">
        <f>K63/SUM($K$63:$K$66)</f>
        <v>0.78558875219683655</v>
      </c>
    </row>
    <row r="64" spans="1:20" hidden="1" x14ac:dyDescent="0.45">
      <c r="A64" s="23"/>
      <c r="B64" s="23"/>
      <c r="C64" s="4" t="s">
        <v>19</v>
      </c>
      <c r="D64" s="24"/>
      <c r="E64" s="25"/>
      <c r="F64" s="4">
        <v>8707</v>
      </c>
      <c r="G64" s="4">
        <f>5612+260</f>
        <v>5872</v>
      </c>
      <c r="H64" s="4">
        <v>0</v>
      </c>
      <c r="I64" s="4">
        <v>4</v>
      </c>
      <c r="J64" s="23"/>
      <c r="K64" s="4">
        <f>SUM(F64,H64,I64)-G64</f>
        <v>2839</v>
      </c>
      <c r="L64" s="23"/>
      <c r="M64" s="24"/>
      <c r="N64" s="25"/>
      <c r="O64" s="27"/>
      <c r="P64" s="21"/>
      <c r="Q64" s="22"/>
      <c r="R64" s="4" t="s">
        <v>51</v>
      </c>
      <c r="S64" s="14">
        <f>T64*$Q$63</f>
        <v>13434059.79930835</v>
      </c>
      <c r="T64" s="13">
        <f>K64/SUM($K$63:$K$66)</f>
        <v>0.16095016724304098</v>
      </c>
    </row>
    <row r="65" spans="1:20" hidden="1" x14ac:dyDescent="0.45">
      <c r="A65" s="23"/>
      <c r="B65" s="23"/>
      <c r="C65" s="4" t="s">
        <v>33</v>
      </c>
      <c r="D65" s="24"/>
      <c r="E65" s="25"/>
      <c r="F65" s="4">
        <v>12</v>
      </c>
      <c r="G65" s="4">
        <v>0</v>
      </c>
      <c r="H65" s="4">
        <v>0</v>
      </c>
      <c r="I65" s="4">
        <v>0</v>
      </c>
      <c r="J65" s="23"/>
      <c r="K65" s="4">
        <f t="shared" ref="K65:K66" si="16">SUM(F65,H65,I65)-G65</f>
        <v>12</v>
      </c>
      <c r="L65" s="23"/>
      <c r="M65" s="24"/>
      <c r="N65" s="25"/>
      <c r="O65" s="27"/>
      <c r="P65" s="21"/>
      <c r="Q65" s="22"/>
      <c r="R65" s="4" t="s">
        <v>47</v>
      </c>
      <c r="S65" s="14">
        <f>T65*$Q$63</f>
        <v>56783.627189749983</v>
      </c>
      <c r="T65" s="13">
        <f>K65/SUM($K$63:$K$66)</f>
        <v>6.8031067520834512E-4</v>
      </c>
    </row>
    <row r="66" spans="1:20" hidden="1" x14ac:dyDescent="0.45">
      <c r="A66" s="23"/>
      <c r="B66" s="23"/>
      <c r="C66" s="4" t="s">
        <v>47</v>
      </c>
      <c r="D66" s="24"/>
      <c r="E66" s="25"/>
      <c r="F66" s="4">
        <v>2130</v>
      </c>
      <c r="G66" s="4">
        <f>1215+6</f>
        <v>1221</v>
      </c>
      <c r="H66" s="4">
        <v>0</v>
      </c>
      <c r="I66" s="4">
        <v>22</v>
      </c>
      <c r="J66" s="23"/>
      <c r="K66" s="4">
        <f t="shared" si="16"/>
        <v>931</v>
      </c>
      <c r="L66" s="23"/>
      <c r="M66" s="24"/>
      <c r="N66" s="25"/>
      <c r="O66" s="28"/>
      <c r="P66" s="21"/>
      <c r="Q66" s="22"/>
      <c r="R66" s="4" t="s">
        <v>52</v>
      </c>
      <c r="S66" s="14">
        <f>T66*$Q$63</f>
        <v>4405463.0761381034</v>
      </c>
      <c r="T66" s="13">
        <f>K66/SUM($K$63:$K$66)</f>
        <v>5.2780769884914112E-2</v>
      </c>
    </row>
    <row r="68" spans="1:20" x14ac:dyDescent="0.45">
      <c r="A68" s="23" t="s">
        <v>60</v>
      </c>
      <c r="B68" s="23" t="s">
        <v>40</v>
      </c>
      <c r="C68" s="4" t="s">
        <v>18</v>
      </c>
      <c r="D68" s="24">
        <v>22800000</v>
      </c>
      <c r="E68" s="25">
        <v>4800</v>
      </c>
      <c r="F68" s="4">
        <v>19570</v>
      </c>
      <c r="G68" s="4">
        <f>5792+125</f>
        <v>5917</v>
      </c>
      <c r="H68" s="4">
        <v>0</v>
      </c>
      <c r="I68" s="4">
        <v>0</v>
      </c>
      <c r="J68" s="23">
        <v>5000</v>
      </c>
      <c r="K68" s="4">
        <f>SUM(F68,H68,I68)-G68</f>
        <v>13653</v>
      </c>
      <c r="L68" s="23">
        <f>SUM(K68:K71)-J68</f>
        <v>12829</v>
      </c>
      <c r="M68" s="24">
        <f>D68</f>
        <v>22800000</v>
      </c>
      <c r="N68" s="25">
        <f>L68*E68</f>
        <v>61579200</v>
      </c>
      <c r="O68" s="26">
        <f>M68+N68</f>
        <v>84379200</v>
      </c>
      <c r="P68" s="21">
        <v>0.1</v>
      </c>
      <c r="Q68" s="22">
        <f>O68*(1+P68)</f>
        <v>92817120.000000015</v>
      </c>
      <c r="R68" s="4" t="s">
        <v>50</v>
      </c>
      <c r="S68" s="14">
        <f>T68*$Q$63</f>
        <v>64605571.835138045</v>
      </c>
      <c r="T68" s="13">
        <f>K68/SUM($K$63:$K$66)</f>
        <v>0.77402347071829469</v>
      </c>
    </row>
    <row r="69" spans="1:20" x14ac:dyDescent="0.45">
      <c r="A69" s="23"/>
      <c r="B69" s="23"/>
      <c r="C69" s="4" t="s">
        <v>19</v>
      </c>
      <c r="D69" s="24"/>
      <c r="E69" s="25"/>
      <c r="F69" s="4">
        <v>8062</v>
      </c>
      <c r="G69" s="4">
        <f>4528+216</f>
        <v>4744</v>
      </c>
      <c r="H69" s="4">
        <v>0</v>
      </c>
      <c r="I69" s="4">
        <v>10</v>
      </c>
      <c r="J69" s="23"/>
      <c r="K69" s="4">
        <f>SUM(F69,H69,I69)-G69</f>
        <v>3328</v>
      </c>
      <c r="L69" s="23"/>
      <c r="M69" s="24"/>
      <c r="N69" s="25"/>
      <c r="O69" s="27"/>
      <c r="P69" s="21"/>
      <c r="Q69" s="22"/>
      <c r="R69" s="4" t="s">
        <v>51</v>
      </c>
      <c r="S69" s="14">
        <f>T69*$Q$63</f>
        <v>15747992.607290663</v>
      </c>
      <c r="T69" s="13">
        <f>K69/SUM($K$63:$K$66)</f>
        <v>0.18867282725778106</v>
      </c>
    </row>
    <row r="70" spans="1:20" x14ac:dyDescent="0.45">
      <c r="A70" s="23"/>
      <c r="B70" s="23"/>
      <c r="C70" s="4" t="s">
        <v>33</v>
      </c>
      <c r="D70" s="24"/>
      <c r="E70" s="25"/>
      <c r="F70" s="4">
        <v>15</v>
      </c>
      <c r="G70" s="4">
        <v>0</v>
      </c>
      <c r="H70" s="4">
        <v>0</v>
      </c>
      <c r="I70" s="4">
        <v>0</v>
      </c>
      <c r="J70" s="23"/>
      <c r="K70" s="4">
        <f t="shared" ref="K70:K71" si="17">SUM(F70,H70,I70)-G70</f>
        <v>15</v>
      </c>
      <c r="L70" s="23"/>
      <c r="M70" s="24"/>
      <c r="N70" s="25"/>
      <c r="O70" s="27"/>
      <c r="P70" s="21"/>
      <c r="Q70" s="22"/>
      <c r="R70" s="4" t="s">
        <v>47</v>
      </c>
      <c r="S70" s="14">
        <f>T70*$Q$63</f>
        <v>70979.533987187489</v>
      </c>
      <c r="T70" s="13">
        <f>K70/SUM($K$63:$K$66)</f>
        <v>8.5038834401043146E-4</v>
      </c>
    </row>
    <row r="71" spans="1:20" x14ac:dyDescent="0.45">
      <c r="A71" s="23"/>
      <c r="B71" s="23"/>
      <c r="C71" s="4" t="s">
        <v>47</v>
      </c>
      <c r="D71" s="24"/>
      <c r="E71" s="25"/>
      <c r="F71" s="4">
        <v>1786</v>
      </c>
      <c r="G71" s="4">
        <f>959+9</f>
        <v>968</v>
      </c>
      <c r="H71" s="4">
        <v>0</v>
      </c>
      <c r="I71" s="4">
        <v>15</v>
      </c>
      <c r="J71" s="23"/>
      <c r="K71" s="4">
        <f t="shared" si="17"/>
        <v>833</v>
      </c>
      <c r="L71" s="23"/>
      <c r="M71" s="24"/>
      <c r="N71" s="25"/>
      <c r="O71" s="28"/>
      <c r="P71" s="21"/>
      <c r="Q71" s="22"/>
      <c r="R71" s="4" t="s">
        <v>52</v>
      </c>
      <c r="S71" s="14">
        <f>T71*$Q$63</f>
        <v>3941730.1207551449</v>
      </c>
      <c r="T71" s="13">
        <f>K71/SUM($K$63:$K$66)</f>
        <v>4.7224899370712628E-2</v>
      </c>
    </row>
    <row r="73" spans="1:20" x14ac:dyDescent="0.45">
      <c r="A73" s="23" t="s">
        <v>62</v>
      </c>
      <c r="B73" s="23" t="s">
        <v>41</v>
      </c>
      <c r="C73" s="4" t="s">
        <v>18</v>
      </c>
      <c r="D73" s="24">
        <v>22800000</v>
      </c>
      <c r="E73" s="25">
        <v>4800</v>
      </c>
      <c r="F73" s="4">
        <v>17319</v>
      </c>
      <c r="G73" s="4">
        <f>5103+113</f>
        <v>5216</v>
      </c>
      <c r="H73" s="4">
        <v>0</v>
      </c>
      <c r="I73" s="4">
        <v>0</v>
      </c>
      <c r="J73" s="23">
        <v>5000</v>
      </c>
      <c r="K73" s="4">
        <f>SUM(F73,H73,I73)-G73</f>
        <v>12103</v>
      </c>
      <c r="L73" s="23">
        <f>SUM(K73:K76)-J73</f>
        <v>11303</v>
      </c>
      <c r="M73" s="24">
        <f>D73</f>
        <v>22800000</v>
      </c>
      <c r="N73" s="25">
        <f>L73*E73</f>
        <v>54254400</v>
      </c>
      <c r="O73" s="26">
        <f>M73+N73</f>
        <v>77054400</v>
      </c>
      <c r="P73" s="21">
        <v>0.1</v>
      </c>
      <c r="Q73" s="22">
        <f>O73*(1+P73)</f>
        <v>84759840</v>
      </c>
    </row>
    <row r="74" spans="1:20" x14ac:dyDescent="0.45">
      <c r="A74" s="23"/>
      <c r="B74" s="23"/>
      <c r="C74" s="4" t="s">
        <v>19</v>
      </c>
      <c r="D74" s="24"/>
      <c r="E74" s="25"/>
      <c r="F74" s="12">
        <v>7094</v>
      </c>
      <c r="G74" s="4">
        <f>3662+191</f>
        <v>3853</v>
      </c>
      <c r="H74" s="4">
        <v>0</v>
      </c>
      <c r="I74" s="4">
        <v>2</v>
      </c>
      <c r="J74" s="23"/>
      <c r="K74" s="4">
        <f>SUM(F74,H74,I74)-G74</f>
        <v>3243</v>
      </c>
      <c r="L74" s="23"/>
      <c r="M74" s="24"/>
      <c r="N74" s="25"/>
      <c r="O74" s="27"/>
      <c r="P74" s="21"/>
      <c r="Q74" s="22"/>
      <c r="R74" s="9"/>
    </row>
    <row r="75" spans="1:20" x14ac:dyDescent="0.45">
      <c r="A75" s="23"/>
      <c r="B75" s="23"/>
      <c r="C75" s="4" t="s">
        <v>33</v>
      </c>
      <c r="D75" s="24"/>
      <c r="E75" s="25"/>
      <c r="F75" s="4">
        <v>14</v>
      </c>
      <c r="G75" s="4">
        <v>0</v>
      </c>
      <c r="H75" s="4">
        <v>0</v>
      </c>
      <c r="I75" s="4">
        <v>0</v>
      </c>
      <c r="J75" s="23"/>
      <c r="K75" s="4">
        <f t="shared" ref="K75:K76" si="18">SUM(F75,H75,I75)-G75</f>
        <v>14</v>
      </c>
      <c r="L75" s="23"/>
      <c r="M75" s="24"/>
      <c r="N75" s="25"/>
      <c r="O75" s="27"/>
      <c r="P75" s="21"/>
      <c r="Q75" s="22"/>
    </row>
    <row r="76" spans="1:20" x14ac:dyDescent="0.45">
      <c r="A76" s="23"/>
      <c r="B76" s="23"/>
      <c r="C76" s="4" t="s">
        <v>47</v>
      </c>
      <c r="D76" s="24"/>
      <c r="E76" s="25"/>
      <c r="F76" s="12">
        <v>1945</v>
      </c>
      <c r="G76" s="4">
        <f>1021+1</f>
        <v>1022</v>
      </c>
      <c r="H76" s="4">
        <v>0</v>
      </c>
      <c r="I76" s="4">
        <v>20</v>
      </c>
      <c r="J76" s="23"/>
      <c r="K76" s="4">
        <f t="shared" si="18"/>
        <v>943</v>
      </c>
      <c r="L76" s="23"/>
      <c r="M76" s="24"/>
      <c r="N76" s="25"/>
      <c r="O76" s="28"/>
      <c r="P76" s="21"/>
      <c r="Q76" s="22"/>
    </row>
    <row r="78" spans="1:20" x14ac:dyDescent="0.45">
      <c r="A78" s="23" t="s">
        <v>63</v>
      </c>
      <c r="B78" s="23" t="s">
        <v>5</v>
      </c>
      <c r="C78" s="4" t="s">
        <v>18</v>
      </c>
      <c r="D78" s="24">
        <v>22800000</v>
      </c>
      <c r="E78" s="25">
        <v>4800</v>
      </c>
      <c r="F78" s="4">
        <v>16121</v>
      </c>
      <c r="G78" s="4">
        <f>4839+113</f>
        <v>4952</v>
      </c>
      <c r="H78" s="4">
        <v>0</v>
      </c>
      <c r="I78" s="4">
        <v>0</v>
      </c>
      <c r="J78" s="23">
        <v>5000</v>
      </c>
      <c r="K78" s="4">
        <f>SUM(F78,H78,I78)-G78</f>
        <v>11169</v>
      </c>
      <c r="L78" s="23">
        <f>SUM(K78:K81)-J78</f>
        <v>10230</v>
      </c>
      <c r="M78" s="24">
        <f>D78</f>
        <v>22800000</v>
      </c>
      <c r="N78" s="25">
        <f>L78*E78</f>
        <v>49104000</v>
      </c>
      <c r="O78" s="26">
        <f>M78+N78</f>
        <v>71904000</v>
      </c>
      <c r="P78" s="21">
        <v>0.1</v>
      </c>
      <c r="Q78" s="22">
        <f>O78*(1+P78)</f>
        <v>79094400</v>
      </c>
      <c r="R78" s="4" t="s">
        <v>50</v>
      </c>
      <c r="S78" s="14">
        <f>K78*J78</f>
        <v>55845000</v>
      </c>
      <c r="T78" s="13">
        <f>S78/SUM($S$78:$S$81)</f>
        <v>0.73335521996060404</v>
      </c>
    </row>
    <row r="79" spans="1:20" x14ac:dyDescent="0.45">
      <c r="A79" s="23"/>
      <c r="B79" s="23"/>
      <c r="C79" s="4" t="s">
        <v>19</v>
      </c>
      <c r="D79" s="24"/>
      <c r="E79" s="25"/>
      <c r="F79" s="12">
        <v>8082</v>
      </c>
      <c r="G79" s="4">
        <f>4969+267</f>
        <v>5236</v>
      </c>
      <c r="H79" s="4">
        <v>0</v>
      </c>
      <c r="I79" s="4">
        <v>2</v>
      </c>
      <c r="J79" s="23"/>
      <c r="K79" s="4">
        <f>SUM(F79,H79,I79)-G79</f>
        <v>2848</v>
      </c>
      <c r="L79" s="23"/>
      <c r="M79" s="24"/>
      <c r="N79" s="25"/>
      <c r="O79" s="27"/>
      <c r="P79" s="21"/>
      <c r="Q79" s="22"/>
      <c r="R79" s="4" t="s">
        <v>51</v>
      </c>
      <c r="S79" s="14">
        <f>K79*$J$78</f>
        <v>14240000</v>
      </c>
      <c r="T79" s="13">
        <f t="shared" ref="T79:T81" si="19">S79/SUM($S$78:$S$81)</f>
        <v>0.18699934340118188</v>
      </c>
    </row>
    <row r="80" spans="1:20" x14ac:dyDescent="0.45">
      <c r="A80" s="23"/>
      <c r="B80" s="23"/>
      <c r="C80" s="4" t="s">
        <v>33</v>
      </c>
      <c r="D80" s="24"/>
      <c r="E80" s="25"/>
      <c r="F80" s="4">
        <v>12</v>
      </c>
      <c r="G80" s="4">
        <v>0</v>
      </c>
      <c r="H80" s="4">
        <v>0</v>
      </c>
      <c r="I80" s="4">
        <v>0</v>
      </c>
      <c r="J80" s="23"/>
      <c r="K80" s="4">
        <f t="shared" ref="K80:K81" si="20">SUM(F80,H80,I80)-G80</f>
        <v>12</v>
      </c>
      <c r="L80" s="23"/>
      <c r="M80" s="24"/>
      <c r="N80" s="25"/>
      <c r="O80" s="27"/>
      <c r="P80" s="21"/>
      <c r="Q80" s="22"/>
      <c r="R80" s="4" t="s">
        <v>47</v>
      </c>
      <c r="S80" s="14">
        <f t="shared" ref="S80:S81" si="21">K80*$J$78</f>
        <v>60000</v>
      </c>
      <c r="T80" s="13">
        <f t="shared" si="19"/>
        <v>7.8791858174655281E-4</v>
      </c>
    </row>
    <row r="81" spans="1:20" x14ac:dyDescent="0.45">
      <c r="A81" s="23"/>
      <c r="B81" s="23"/>
      <c r="C81" s="4" t="s">
        <v>47</v>
      </c>
      <c r="D81" s="24"/>
      <c r="E81" s="25"/>
      <c r="F81" s="12">
        <v>2675</v>
      </c>
      <c r="G81" s="4">
        <f>1493+5</f>
        <v>1498</v>
      </c>
      <c r="H81" s="4">
        <v>0</v>
      </c>
      <c r="I81" s="4">
        <v>24</v>
      </c>
      <c r="J81" s="23"/>
      <c r="K81" s="4">
        <f t="shared" si="20"/>
        <v>1201</v>
      </c>
      <c r="L81" s="23"/>
      <c r="M81" s="24"/>
      <c r="N81" s="25"/>
      <c r="O81" s="28"/>
      <c r="P81" s="21"/>
      <c r="Q81" s="22"/>
      <c r="R81" s="4" t="s">
        <v>52</v>
      </c>
      <c r="S81" s="14">
        <f t="shared" si="21"/>
        <v>6005000</v>
      </c>
      <c r="T81" s="13">
        <f t="shared" si="19"/>
        <v>7.8857518056467499E-2</v>
      </c>
    </row>
    <row r="83" spans="1:20" x14ac:dyDescent="0.45">
      <c r="A83" s="23" t="s">
        <v>64</v>
      </c>
      <c r="B83" s="23" t="s">
        <v>6</v>
      </c>
      <c r="C83" s="18" t="s">
        <v>18</v>
      </c>
      <c r="D83" s="24">
        <f>40000000*0.8</f>
        <v>32000000</v>
      </c>
      <c r="E83" s="25">
        <f>8300*0.8</f>
        <v>6640</v>
      </c>
      <c r="F83" s="18">
        <v>16525</v>
      </c>
      <c r="G83" s="18">
        <f>5617+158</f>
        <v>5775</v>
      </c>
      <c r="H83" s="18">
        <v>0</v>
      </c>
      <c r="I83" s="18">
        <v>0</v>
      </c>
      <c r="J83" s="23">
        <v>5000</v>
      </c>
      <c r="K83" s="18">
        <f>SUM(F83,H83,I83)-G83</f>
        <v>10750</v>
      </c>
      <c r="L83" s="23">
        <f>SUM(K83:K86)-J83</f>
        <v>10785</v>
      </c>
      <c r="M83" s="24">
        <f>D83</f>
        <v>32000000</v>
      </c>
      <c r="N83" s="25">
        <f>L83*E83</f>
        <v>71612400</v>
      </c>
      <c r="O83" s="41">
        <f>M83+N83</f>
        <v>103612400</v>
      </c>
      <c r="P83" s="21">
        <v>0.1</v>
      </c>
      <c r="Q83" s="24">
        <f>O83*(1+P83)</f>
        <v>113973640.00000001</v>
      </c>
      <c r="R83" s="18" t="s">
        <v>50</v>
      </c>
      <c r="S83" s="19">
        <f>K83*J83</f>
        <v>53750000</v>
      </c>
      <c r="T83" s="17">
        <f>S83/SUM($S$83:$S$86)</f>
        <v>0.6810262907823883</v>
      </c>
    </row>
    <row r="84" spans="1:20" x14ac:dyDescent="0.45">
      <c r="A84" s="23"/>
      <c r="B84" s="23"/>
      <c r="C84" s="18" t="s">
        <v>19</v>
      </c>
      <c r="D84" s="24"/>
      <c r="E84" s="25"/>
      <c r="F84" s="18">
        <v>8951</v>
      </c>
      <c r="G84" s="18">
        <f>4888+279</f>
        <v>5167</v>
      </c>
      <c r="H84" s="18">
        <v>0</v>
      </c>
      <c r="I84" s="18">
        <v>5</v>
      </c>
      <c r="J84" s="23"/>
      <c r="K84" s="18">
        <f>SUM(F84,H84,I84)-G84</f>
        <v>3789</v>
      </c>
      <c r="L84" s="23"/>
      <c r="M84" s="24"/>
      <c r="N84" s="25"/>
      <c r="O84" s="41"/>
      <c r="P84" s="21"/>
      <c r="Q84" s="24"/>
      <c r="R84" s="18" t="s">
        <v>51</v>
      </c>
      <c r="S84" s="19">
        <f>K84*$J$78</f>
        <v>18945000</v>
      </c>
      <c r="T84" s="17">
        <f t="shared" ref="T84:T86" si="22">S84/SUM($S$83:$S$86)</f>
        <v>0.24003801076971809</v>
      </c>
    </row>
    <row r="85" spans="1:20" x14ac:dyDescent="0.45">
      <c r="A85" s="23"/>
      <c r="B85" s="23"/>
      <c r="C85" s="18" t="s">
        <v>33</v>
      </c>
      <c r="D85" s="24"/>
      <c r="E85" s="25"/>
      <c r="F85" s="18">
        <v>14</v>
      </c>
      <c r="G85" s="18">
        <v>0</v>
      </c>
      <c r="H85" s="18">
        <v>0</v>
      </c>
      <c r="I85" s="18">
        <v>0</v>
      </c>
      <c r="J85" s="23"/>
      <c r="K85" s="18">
        <f t="shared" ref="K85:K86" si="23">SUM(F85,H85,I85)-G85</f>
        <v>14</v>
      </c>
      <c r="L85" s="23"/>
      <c r="M85" s="24"/>
      <c r="N85" s="25"/>
      <c r="O85" s="41"/>
      <c r="P85" s="21"/>
      <c r="Q85" s="24"/>
      <c r="R85" s="18" t="s">
        <v>52</v>
      </c>
      <c r="S85" s="19">
        <f>K85*$J$78</f>
        <v>70000</v>
      </c>
      <c r="T85" s="17">
        <f t="shared" si="22"/>
        <v>8.869179600886918E-4</v>
      </c>
    </row>
    <row r="86" spans="1:20" x14ac:dyDescent="0.45">
      <c r="A86" s="23"/>
      <c r="B86" s="23"/>
      <c r="C86" s="18" t="s">
        <v>47</v>
      </c>
      <c r="D86" s="24"/>
      <c r="E86" s="25"/>
      <c r="F86" s="18">
        <v>2467</v>
      </c>
      <c r="G86" s="18">
        <f>1243+7</f>
        <v>1250</v>
      </c>
      <c r="H86" s="18">
        <v>0</v>
      </c>
      <c r="I86" s="18">
        <v>15</v>
      </c>
      <c r="J86" s="23"/>
      <c r="K86" s="18">
        <f t="shared" si="23"/>
        <v>1232</v>
      </c>
      <c r="L86" s="23"/>
      <c r="M86" s="24"/>
      <c r="N86" s="25"/>
      <c r="O86" s="41"/>
      <c r="P86" s="21"/>
      <c r="Q86" s="24"/>
      <c r="R86" s="18" t="s">
        <v>47</v>
      </c>
      <c r="S86" s="19">
        <f t="shared" ref="S85:S86" si="24">K86*$J$78</f>
        <v>6160000</v>
      </c>
      <c r="T86" s="17">
        <f t="shared" si="22"/>
        <v>7.8048780487804878E-2</v>
      </c>
    </row>
    <row r="89" spans="1:20" x14ac:dyDescent="0.45">
      <c r="R89" s="18"/>
    </row>
    <row r="90" spans="1:20" x14ac:dyDescent="0.45">
      <c r="N90" s="11"/>
      <c r="O90" s="9"/>
    </row>
  </sheetData>
  <mergeCells count="275">
    <mergeCell ref="P78:P81"/>
    <mergeCell ref="Q78:Q81"/>
    <mergeCell ref="A78:A81"/>
    <mergeCell ref="B78:B81"/>
    <mergeCell ref="D78:D81"/>
    <mergeCell ref="E78:E81"/>
    <mergeCell ref="J78:J81"/>
    <mergeCell ref="L78:L81"/>
    <mergeCell ref="M78:M81"/>
    <mergeCell ref="N78:N81"/>
    <mergeCell ref="O78:O81"/>
    <mergeCell ref="P58:P61"/>
    <mergeCell ref="Q58:Q61"/>
    <mergeCell ref="A58:A61"/>
    <mergeCell ref="B58:B61"/>
    <mergeCell ref="D58:D61"/>
    <mergeCell ref="E58:E61"/>
    <mergeCell ref="J58:J61"/>
    <mergeCell ref="L58:L61"/>
    <mergeCell ref="M58:M61"/>
    <mergeCell ref="N58:N61"/>
    <mergeCell ref="O58:O61"/>
    <mergeCell ref="Q52:Q55"/>
    <mergeCell ref="A52:A55"/>
    <mergeCell ref="B52:B55"/>
    <mergeCell ref="D52:D55"/>
    <mergeCell ref="E52:E55"/>
    <mergeCell ref="J52:J55"/>
    <mergeCell ref="L52:L55"/>
    <mergeCell ref="M52:M55"/>
    <mergeCell ref="N52:N55"/>
    <mergeCell ref="P52:P55"/>
    <mergeCell ref="O52:O55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  <mergeCell ref="P63:P66"/>
    <mergeCell ref="Q63:Q66"/>
    <mergeCell ref="A63:A66"/>
    <mergeCell ref="B63:B66"/>
    <mergeCell ref="D63:D66"/>
    <mergeCell ref="E63:E66"/>
    <mergeCell ref="J63:J66"/>
    <mergeCell ref="L63:L66"/>
    <mergeCell ref="M63:M66"/>
    <mergeCell ref="N63:N66"/>
    <mergeCell ref="O63:O66"/>
    <mergeCell ref="P68:P71"/>
    <mergeCell ref="Q68:Q71"/>
    <mergeCell ref="A68:A71"/>
    <mergeCell ref="B68:B71"/>
    <mergeCell ref="D68:D71"/>
    <mergeCell ref="E68:E71"/>
    <mergeCell ref="J68:J71"/>
    <mergeCell ref="L68:L71"/>
    <mergeCell ref="M68:M71"/>
    <mergeCell ref="N68:N71"/>
    <mergeCell ref="O68:O71"/>
    <mergeCell ref="P73:P76"/>
    <mergeCell ref="Q73:Q76"/>
    <mergeCell ref="A73:A76"/>
    <mergeCell ref="B73:B76"/>
    <mergeCell ref="D73:D76"/>
    <mergeCell ref="E73:E76"/>
    <mergeCell ref="J73:J76"/>
    <mergeCell ref="L73:L76"/>
    <mergeCell ref="M73:M76"/>
    <mergeCell ref="N73:N76"/>
    <mergeCell ref="O73:O76"/>
    <mergeCell ref="P83:P86"/>
    <mergeCell ref="Q83:Q86"/>
    <mergeCell ref="A83:A86"/>
    <mergeCell ref="B83:B86"/>
    <mergeCell ref="D83:D86"/>
    <mergeCell ref="E83:E86"/>
    <mergeCell ref="J83:J86"/>
    <mergeCell ref="L83:L86"/>
    <mergeCell ref="M83:M86"/>
    <mergeCell ref="N83:N86"/>
    <mergeCell ref="O83:O86"/>
  </mergeCells>
  <conditionalFormatting sqref="Q1:Q36 Q51:Q52 Q56:Q58 Q62:Q63 Q67:Q68 Q72:Q73 Q77:Q78 Q87:Q143 Q82:Q8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37:Q3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0:Q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conditionalFormatting sqref="T1:T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{4DB95AB2-FE3A-46EE-AA61-4D3A510EE9BE}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Q51:Q52 Q56:Q58 Q62:Q63 Q67:Q68 Q72:Q73 Q77:Q78 Q87:Q143 Q82:Q83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4DB95AB2-FE3A-46EE-AA61-4D3A510EE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hosein jamshidian.khedmatazma</cp:lastModifiedBy>
  <dcterms:created xsi:type="dcterms:W3CDTF">2022-07-12T11:04:17Z</dcterms:created>
  <dcterms:modified xsi:type="dcterms:W3CDTF">2025-06-10T11:48:24Z</dcterms:modified>
</cp:coreProperties>
</file>